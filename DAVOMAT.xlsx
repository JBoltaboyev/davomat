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iq fanlar" state="visible" r:id="rId4"/>
    <sheet sheetId="2" name="Filologiya" state="visible" r:id="rId5"/>
    <sheet sheetId="3" name="Ijtimoiy va amaliy" state="visible" r:id="rId6"/>
    <sheet sheetId="4" name="Boshlang'ich ta'lim" state="visible" r:id="rId7"/>
    <sheet sheetId="5" name="Pedagogika" state="visible" r:id="rId8"/>
    <sheet sheetId="6" name="Umumiy Monitoring" state="visible" r:id="rId9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E4" authorId="0">
      <text>
        <r>
          <t>Inspektor: Rejalashtirilgan ochiq dars</t>
        </r>
      </text>
    </comment>
    <comment ref="M4" authorId="0">
      <text>
        <r>
          <t>Inspektor: API verification check</t>
        </r>
      </text>
    </comment>
    <comment ref="Y4" authorId="0">
      <text>
        <r>
          <t>Inspektor: Sinov davomati</t>
        </r>
      </text>
    </comment>
    <comment ref="Z4" authorId="0">
      <text>
        <r>
          <t>Inspektor: 2-para davomati</t>
        </r>
      </text>
    </comment>
    <comment ref="M5" authorId="0">
      <text>
        <r>
          <t>Inspektor Aliyev: 1 talaba betob</t>
        </r>
      </text>
    </comment>
    <comment ref="M7" authorId="0">
      <text>
        <r>
          <t>Inspektor Aliyev: A'lo davomat</t>
        </r>
      </text>
    </comment>
    <comment ref="M8" authorId="0">
      <text>
        <r>
          <t>Inspektor Aliyev: Barcha talabalar joyida</t>
        </r>
      </text>
    </comment>
    <comment ref="N9" authorId="0">
      <text>
        <r>
          <t>Nazoratchi Karimova: 2 talaba sababli</t>
        </r>
      </text>
    </comment>
    <comment ref="N11" authorId="0">
      <text>
        <r>
          <t>Nazoratchi Karimova: Kompyuter sinfida amaliy dars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4" authorId="0">
      <text>
        <r>
          <t>Uslubchi: efgasfgar</t>
        </r>
      </text>
    </comment>
    <comment ref="Q4" authorId="0">
      <text>
        <r>
          <t>Inspektor: A'lo qatnashish</t>
        </r>
      </text>
    </comment>
    <comment ref="AA6" authorId="0">
      <text>
        <r>
          <t>Uslubchi (Filologiya): malaka oshirshda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G4" authorId="0">
      <text>
        <r>
          <t>Uslubchi: sdgasdfAGFG</t>
        </r>
      </text>
    </comment>
    <comment ref="N4" authorId="0">
      <text>
        <r>
          <t>Nazoratchi Karimova: 2 talaba uzrli</t>
        </r>
      </text>
    </comment>
    <comment ref="G7" authorId="0">
      <text>
        <r>
          <t>Uslubchi: sdgasdfAGFGAFGA</t>
        </r>
      </text>
    </comment>
    <comment ref="G13" authorId="0">
      <text>
        <r>
          <t>Uslubchi: sdgasdfAGFGAFGA</t>
        </r>
      </text>
    </comment>
    <comment ref="G32" authorId="0">
      <text>
        <r>
          <t>Uslubchi: sdgasdfAGFGAFGA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N6" authorId="0">
      <text>
        <r>
          <t>Nazoratchi Karimova: Laboratoriya mashg'uloti</t>
        </r>
      </text>
    </comment>
    <comment ref="M9" authorId="0">
      <text>
        <r>
          <t>Inspektor Aliyev: 1 talaba kechikib keldi</t>
        </r>
      </text>
    </comment>
  </commentList>
</comments>
</file>

<file path=xl/sharedStrings.xml><?xml version="1.0" encoding="utf-8"?>
<sst xmlns="http://schemas.openxmlformats.org/spreadsheetml/2006/main" count="430" uniqueCount="275">
  <si>
    <t>ANIQ FANLAR OLIY MAKTABI - KUNDUZGI YO'NALISHLAR DAVOMAT JADVALI</t>
  </si>
  <si>
    <t>2026-10-12</t>
  </si>
  <si>
    <t>2026-10-13</t>
  </si>
  <si>
    <t>2026-10-14</t>
  </si>
  <si>
    <t>2026-10-15</t>
  </si>
  <si>
    <t>2026-10-16</t>
  </si>
  <si>
    <t>2026-10-17</t>
  </si>
  <si>
    <t>Fakultet</t>
  </si>
  <si>
    <t>Kurs</t>
  </si>
  <si>
    <t>GURUHLAR</t>
  </si>
  <si>
    <t>HEMISDA</t>
  </si>
  <si>
    <t>DUSHANBA</t>
  </si>
  <si>
    <t xml:space="preserve">KUNLIK
DAVOMAT %</t>
  </si>
  <si>
    <t>SESHANBA</t>
  </si>
  <si>
    <t>CHORSHANBA</t>
  </si>
  <si>
    <t>PAYSHANBA</t>
  </si>
  <si>
    <t>JUMA</t>
  </si>
  <si>
    <t>SHANBA</t>
  </si>
  <si>
    <t xml:space="preserve">HAFTA
DAVOMATI %</t>
  </si>
  <si>
    <t>Aniq fanlar oliy maktabi</t>
  </si>
  <si>
    <t>261-Fizika</t>
  </si>
  <si>
    <t/>
  </si>
  <si>
    <t>262-Fizika</t>
  </si>
  <si>
    <t>261-Astranomiya</t>
  </si>
  <si>
    <t>261-Matematika</t>
  </si>
  <si>
    <t>262-Matematika</t>
  </si>
  <si>
    <t>261-Amaliy matematika</t>
  </si>
  <si>
    <t>262-Amaliy matematika</t>
  </si>
  <si>
    <t>261-Axborot tizimlari va texnologiyalari</t>
  </si>
  <si>
    <t>262-Axborot tizimlari va texnologiyalari</t>
  </si>
  <si>
    <t>261-Sun'iy intelekt</t>
  </si>
  <si>
    <t>262-Sun'iy intelekt</t>
  </si>
  <si>
    <t>251-Fizika</t>
  </si>
  <si>
    <t>252-Fizika</t>
  </si>
  <si>
    <t>251-Astranomiya</t>
  </si>
  <si>
    <t>251-Matematika</t>
  </si>
  <si>
    <t>252-Matematika</t>
  </si>
  <si>
    <t>253-Matematika</t>
  </si>
  <si>
    <t>251-Amaliy matematika</t>
  </si>
  <si>
    <t>252-Amaliy matematika</t>
  </si>
  <si>
    <t>241-Fizika</t>
  </si>
  <si>
    <t>242-Fizika</t>
  </si>
  <si>
    <t>241-Astronomiya</t>
  </si>
  <si>
    <t>241-Matematika</t>
  </si>
  <si>
    <t>242-Matematika</t>
  </si>
  <si>
    <t>243-Matematika</t>
  </si>
  <si>
    <t>241-Amaliy matematika</t>
  </si>
  <si>
    <t>231-Matematika va informatika</t>
  </si>
  <si>
    <t>232-Matematika va informatika</t>
  </si>
  <si>
    <t>233-Matematika va informatika</t>
  </si>
  <si>
    <t>231-Fizika va astranomiya</t>
  </si>
  <si>
    <t>232-Fizika va astranomiya</t>
  </si>
  <si>
    <t>JAMI TALABALAR SONI</t>
  </si>
  <si>
    <t>FILOLOGIYA FAKULTETI - KUNDUZGI YO'NALISHLAR DAVOMAT JADVALI</t>
  </si>
  <si>
    <t>Filologiya fakulteti</t>
  </si>
  <si>
    <t>261-O'zbek tili va adabiyoti</t>
  </si>
  <si>
    <t>262-O'zbek tili va adabiyoti</t>
  </si>
  <si>
    <t>263-O'zbek tili va adabiyoti</t>
  </si>
  <si>
    <t>261-O'zbek tili va adabiyoti (rus tili)</t>
  </si>
  <si>
    <t>262-O'zbek tili va adabiyoti (rus tili)</t>
  </si>
  <si>
    <t xml:space="preserve">261-(A) Xorijiy til va adabiyoti </t>
  </si>
  <si>
    <t xml:space="preserve">261-(B) Xorijiy til va adabiyoti </t>
  </si>
  <si>
    <t xml:space="preserve">262-(A) Xorijiy til va adabiyoti </t>
  </si>
  <si>
    <t xml:space="preserve">262-(B) Xorijiy til va adabiyoti </t>
  </si>
  <si>
    <t xml:space="preserve">263-(A) Xorijiy til va adabiyoti </t>
  </si>
  <si>
    <t xml:space="preserve">263-(B) Xorijiy til va adabiyoti </t>
  </si>
  <si>
    <t>261-(A) Xorijiy til va adabiyoti  (rus)</t>
  </si>
  <si>
    <t>261-(B) Xorijiy til va adabiyoti (rus)</t>
  </si>
  <si>
    <t xml:space="preserve">251-(A) Xorijiy til va adabiyoti </t>
  </si>
  <si>
    <t>251-(B) Xorijiy til va adabiyoti</t>
  </si>
  <si>
    <t>252-(A) Xorijiy til va adabiyoti</t>
  </si>
  <si>
    <t xml:space="preserve">252-(B) Xorijiy til va adabiyoti </t>
  </si>
  <si>
    <t>251-(A) Xorijiy til va adabiyoti  (rus)</t>
  </si>
  <si>
    <t>251-(B) Xorijiy til va adabiyoti  (rus)</t>
  </si>
  <si>
    <t>251-O'zbek tili va adabiyoti (rus tili)</t>
  </si>
  <si>
    <t>252-O'zbek tili va adabiyoti (rus tili)</t>
  </si>
  <si>
    <t>253-O'zbek tili va adabiyoti (rus tili)</t>
  </si>
  <si>
    <t>251-O'zbek tili va adabiyoti</t>
  </si>
  <si>
    <t>252-O'zbek tili va adabiyoti</t>
  </si>
  <si>
    <t>253-O'zbek tili va adabiyoti</t>
  </si>
  <si>
    <t>254-O'zbek tili va adabiyoti</t>
  </si>
  <si>
    <t>255-O'zbek tili va adabiyoti</t>
  </si>
  <si>
    <t xml:space="preserve">241-(A) Xorijiy til va adabiyoti </t>
  </si>
  <si>
    <t xml:space="preserve">241-(B) Xorijiy til va adabiyoti </t>
  </si>
  <si>
    <t xml:space="preserve">242-(A) Xorijiy til va adabiyoti </t>
  </si>
  <si>
    <t xml:space="preserve">242-(B) Xorijiy til va adabiyoti </t>
  </si>
  <si>
    <t xml:space="preserve">243-(A) Xorijiy til va adabiyoti </t>
  </si>
  <si>
    <t xml:space="preserve">243-(B) Xorijiy til va adabiyoti </t>
  </si>
  <si>
    <t xml:space="preserve">244-(A) Xorijiy til va adabiyoti </t>
  </si>
  <si>
    <t xml:space="preserve">244-(B) Xorijiy til va adabiyoti </t>
  </si>
  <si>
    <t xml:space="preserve">245-(A) Xorijiy til va adabiyoti </t>
  </si>
  <si>
    <t xml:space="preserve">245-(B) Xorijiy til va adabiyoti </t>
  </si>
  <si>
    <t>241-(A) Xorijiy til va adabiyoti  (rus)</t>
  </si>
  <si>
    <t>241-(B) Xorijiy til va adabiyoti  (rus)</t>
  </si>
  <si>
    <t>242-(A) Xorijiy til va adabiyoti  (rus)</t>
  </si>
  <si>
    <t>242-(B) Xorijiy til va adabiyoti  (rus)</t>
  </si>
  <si>
    <t>241-O'zbek tili va adabiyoti</t>
  </si>
  <si>
    <t>242-O'zbek tili va adabiyoti</t>
  </si>
  <si>
    <t>243-O'zbek tili va adabiyoti</t>
  </si>
  <si>
    <t>244-O'zbek tili va adabiyoti</t>
  </si>
  <si>
    <t>241-O'zbek tili va adabiyoti (rus tili)</t>
  </si>
  <si>
    <t>242-O'zbek tili va adabiyoti (rus tili)</t>
  </si>
  <si>
    <t xml:space="preserve">231-(A) Xorijiy til va adabiyoti </t>
  </si>
  <si>
    <t xml:space="preserve">231-(B) Xorijiy til va adabiyoti </t>
  </si>
  <si>
    <t xml:space="preserve">232-(A) Xorijiy til va adabiyoti </t>
  </si>
  <si>
    <t xml:space="preserve">232-(B) Xorijiy til va adabiyoti </t>
  </si>
  <si>
    <t xml:space="preserve">233-(A) Xorijiy til va adabiyoti </t>
  </si>
  <si>
    <t xml:space="preserve">233-(B) Xorijiy til va adabiyoti </t>
  </si>
  <si>
    <t>234-(A) Xorijiy til va adabiyoti</t>
  </si>
  <si>
    <t xml:space="preserve">234-(B) Xorijiy til va adabiyoti </t>
  </si>
  <si>
    <t>231-(A) Xorijiy til va adabiyoti  (rus)</t>
  </si>
  <si>
    <t>231-(B) Xorijiy til va adabiyoti  (rus)</t>
  </si>
  <si>
    <t>232-(A) Xorijiy til va adabiyoti  (rus)</t>
  </si>
  <si>
    <t>232-(B) Xorijiy til va adabiyoti  (rus)</t>
  </si>
  <si>
    <t>231-O'zga tilli guruhlarda rus tili</t>
  </si>
  <si>
    <t>232-O'zga tilli guruhlarda rus tili</t>
  </si>
  <si>
    <t>233-O'zga tilli guruhlarda rus tili</t>
  </si>
  <si>
    <t>234-O'zga tilli guruhlarda rus tili</t>
  </si>
  <si>
    <t>235-O'zga tilli guruhlarda rus tili</t>
  </si>
  <si>
    <t>236-O'zga tilli guruhlarda rus tili</t>
  </si>
  <si>
    <t>231-O'zbek tili va adabiyoti</t>
  </si>
  <si>
    <t>232-O'zbek tili va adabiyoti</t>
  </si>
  <si>
    <t>233-O'zbek tili va adabiyoti</t>
  </si>
  <si>
    <t>234-O'zbek tili va adabiyoti</t>
  </si>
  <si>
    <t>235-O'zbek tili va adabiyoti</t>
  </si>
  <si>
    <t>IJTIMOIY VA AMALIY FANLAR FAKULTETI - KUNDUZGI YO'NALISHLAR DAVOMAT JADVALI</t>
  </si>
  <si>
    <t>Ijtimoiy va amaliy fanlar fakulteti</t>
  </si>
  <si>
    <t xml:space="preserve">261-Tarix </t>
  </si>
  <si>
    <t xml:space="preserve">262 -Tarix </t>
  </si>
  <si>
    <t xml:space="preserve">261-Milliy g'oya </t>
  </si>
  <si>
    <t>261-Jismoniy madaniyat</t>
  </si>
  <si>
    <t>262-Jismoniy madaniyat</t>
  </si>
  <si>
    <t>263-Jismoniy madaniyat</t>
  </si>
  <si>
    <t xml:space="preserve">264-Jismoniy madaniyat </t>
  </si>
  <si>
    <t xml:space="preserve">261-Musiqa ta’limi </t>
  </si>
  <si>
    <t xml:space="preserve">262-Musiqa ta’limi </t>
  </si>
  <si>
    <t>261-TSMG</t>
  </si>
  <si>
    <t xml:space="preserve">262-TSMG </t>
  </si>
  <si>
    <t xml:space="preserve"> 251-Tarix</t>
  </si>
  <si>
    <t xml:space="preserve"> 252-Tarix</t>
  </si>
  <si>
    <t xml:space="preserve"> 253-Tarix</t>
  </si>
  <si>
    <t xml:space="preserve">251-Milliy g'oya </t>
  </si>
  <si>
    <t xml:space="preserve">252-Milliy g'oya </t>
  </si>
  <si>
    <t xml:space="preserve">251-Jismoniy madaniyat </t>
  </si>
  <si>
    <t xml:space="preserve">252-Jismoniy madaniyat </t>
  </si>
  <si>
    <t>253-Jismoniy madaniyat</t>
  </si>
  <si>
    <t xml:space="preserve">254-Jismoniy madaniyat </t>
  </si>
  <si>
    <t xml:space="preserve">255-Jismoniy madaniyat </t>
  </si>
  <si>
    <t xml:space="preserve">256-Jismoniy madaniyat </t>
  </si>
  <si>
    <t xml:space="preserve">251-Musiqa ta’limi </t>
  </si>
  <si>
    <t xml:space="preserve">252-Musiqa ta’limi </t>
  </si>
  <si>
    <t>251-TSMG</t>
  </si>
  <si>
    <t xml:space="preserve">252-TSMG </t>
  </si>
  <si>
    <t xml:space="preserve">253-TSMG </t>
  </si>
  <si>
    <t xml:space="preserve">241-Tarix </t>
  </si>
  <si>
    <t xml:space="preserve">242 -Tarix </t>
  </si>
  <si>
    <t xml:space="preserve">241-Milliy g'oya </t>
  </si>
  <si>
    <t xml:space="preserve">241-Jismoniy madaniyat </t>
  </si>
  <si>
    <t xml:space="preserve">242-Jismoniy madaniyat </t>
  </si>
  <si>
    <t xml:space="preserve">243-Jismoniy madaniyat </t>
  </si>
  <si>
    <t xml:space="preserve">244-Jismoniy madaniyat </t>
  </si>
  <si>
    <t xml:space="preserve">245-Jismoniy madaniyat </t>
  </si>
  <si>
    <t xml:space="preserve">246-Jismoniy madaniyat </t>
  </si>
  <si>
    <t xml:space="preserve">247-Jismoniy madaniyat </t>
  </si>
  <si>
    <t xml:space="preserve">248-Jismoniy madaniyat </t>
  </si>
  <si>
    <t xml:space="preserve">241-Musiqa ta’limi </t>
  </si>
  <si>
    <t xml:space="preserve">242-Musiqa ta’limi </t>
  </si>
  <si>
    <t>TSMG 241</t>
  </si>
  <si>
    <t>TSMG 242</t>
  </si>
  <si>
    <t xml:space="preserve">231-Tarix </t>
  </si>
  <si>
    <t xml:space="preserve">232-Tarix </t>
  </si>
  <si>
    <t xml:space="preserve">233-Tarix </t>
  </si>
  <si>
    <t xml:space="preserve">231-Milliy g'oya </t>
  </si>
  <si>
    <t>BOSHLANG'ICH TA'LIM FAKULTETI - KUNDUZGI YO'NALISHLAR DAVOMAT JADVALI</t>
  </si>
  <si>
    <t>Boshlang'ich ta'lim fakulteti</t>
  </si>
  <si>
    <t xml:space="preserve">261-Boshlang'ich ta'lim  </t>
  </si>
  <si>
    <t>261-Boshlang'ich ta'lim  (Rus)</t>
  </si>
  <si>
    <t>261-Maktabgacha talim(o'zbek)</t>
  </si>
  <si>
    <t>261-Maktabgacha talim(rus)</t>
  </si>
  <si>
    <t>262-Boshlang'ich ta'lim (Kunduzgi) o'zbek</t>
  </si>
  <si>
    <t>263-Boshlang'ich ta'lim (Kunduzgi) o'zbek</t>
  </si>
  <si>
    <t>251-Boshlang'ich ta'lim (Kunduzgi) RUS</t>
  </si>
  <si>
    <t>251-Boshlang'ich ta'lim (Kunduzgi) o'zbek</t>
  </si>
  <si>
    <t>252-Boshlang'ich ta'lim (Kunduzgi) o'zbek</t>
  </si>
  <si>
    <t>253-Boshlang'ich ta'lim (Kunduzgi) o'zbek</t>
  </si>
  <si>
    <t>254-Boshlang'ich ta'lim (Kunduzgi) o'zbek</t>
  </si>
  <si>
    <t>251-Maktabgacha talim(rus)</t>
  </si>
  <si>
    <t>251-Maktabgacha talim(o'zbek)</t>
  </si>
  <si>
    <t>252-Maktabgacha talim(o'zbek)</t>
  </si>
  <si>
    <t>253-Maktabgacha ta'lim</t>
  </si>
  <si>
    <t>241-Boshlang'ich ta'lim (kundizgi)</t>
  </si>
  <si>
    <t>242-Boshlang'ich ta'lim(kundizgi)</t>
  </si>
  <si>
    <t>243-Boshlang'ich ta'lim(kundizgi)</t>
  </si>
  <si>
    <t>244-Boshlang'ich ta'lim(kundizgi)</t>
  </si>
  <si>
    <t>245-Boshlang'ich ta'lim (kundizgi)</t>
  </si>
  <si>
    <t>246-Boshlang'ich ta'lim(kundizgi)</t>
  </si>
  <si>
    <t>247-Boshlang'ich ta'lim(kundizgi)</t>
  </si>
  <si>
    <t>248-Boshlang'ich talim (kundizgi)</t>
  </si>
  <si>
    <t>249-Boshlang'ich ta'lim(kundizgi)</t>
  </si>
  <si>
    <t>2410-Boshlang'ich ta'lim(kundizgi)</t>
  </si>
  <si>
    <t>2411-boshlang'ich ta'lim(kundizgi)</t>
  </si>
  <si>
    <t>2412 Boshlang`ich ta`lim (kunduzgi</t>
  </si>
  <si>
    <t>241-boshlang'ich ta'lim(kundizgi)rus</t>
  </si>
  <si>
    <t>242-boshlang'ich ta'lim(kundizgi)rus</t>
  </si>
  <si>
    <t>241-Maktabgacha ta'lim(rus)</t>
  </si>
  <si>
    <t>241-Maktabgacha ta'lim Kunduzgi (o'zbek)</t>
  </si>
  <si>
    <t>242 Maktabgacha ta'lim(kunduzgi)</t>
  </si>
  <si>
    <t>243-Maktabgacha ta'lim kunduzgi (o'zbek)</t>
  </si>
  <si>
    <t>244-Maktabgacha ta'lim kunduzgi (o'zbek)</t>
  </si>
  <si>
    <t>245-Maktabgacha talim(kunduzgi)</t>
  </si>
  <si>
    <t>246-Maktabgacha talim(kunduzgi)</t>
  </si>
  <si>
    <t>247-Maktabgacha talim(kunduzgi)</t>
  </si>
  <si>
    <t>231-Boshlang'ich ta'lim (Kunduzgi) Rus</t>
  </si>
  <si>
    <t>232-Boshlang'ich ta'lim (Kunduzgi) rus</t>
  </si>
  <si>
    <t>231-Boshlang'ich ta'lim (Kunduzgi) O'zbek</t>
  </si>
  <si>
    <t>232-Boshlang'ich ta'lim (Kunduzgi) O'zbek</t>
  </si>
  <si>
    <t>233-Boshlang'ich ta'lim (Kunduzgi) O'zbek</t>
  </si>
  <si>
    <t>234-Boshlang'ich ta'lim (Kunduzgi) O'zbek</t>
  </si>
  <si>
    <t>235-Boshlang'ich ta'lim (Kunduzgi) O'zbek</t>
  </si>
  <si>
    <t>236-Boshlang'ich ta'lim (Kunduzgi) O'zbek</t>
  </si>
  <si>
    <t>237-Boshlang'ich ta'lim (Kunduzgi) O'zbek</t>
  </si>
  <si>
    <t>238-Boshlang'ich ta'lim (Kunduzgi) O'zbek</t>
  </si>
  <si>
    <t>239-Boshlang'ich ta'lim (Kunduzgi) O'zbek</t>
  </si>
  <si>
    <t>PEDAGOGIKA FAKULTETI - KUNDUZGI YO'NALISHLAR DAVOMAT JADVALI</t>
  </si>
  <si>
    <t>Pedagogika fakulteti</t>
  </si>
  <si>
    <t>261-Geografiya</t>
  </si>
  <si>
    <t>261-Pedagogika</t>
  </si>
  <si>
    <t>261-Kimyo</t>
  </si>
  <si>
    <t>261-Texnologik ta'lim</t>
  </si>
  <si>
    <t>262-Texnologik ta'lim</t>
  </si>
  <si>
    <t>261-Biologiya</t>
  </si>
  <si>
    <t>251-Pedagogika</t>
  </si>
  <si>
    <t>251-Texnologik ta'lim</t>
  </si>
  <si>
    <t>252-Texnologik ta'lim</t>
  </si>
  <si>
    <t>251-Biologiya</t>
  </si>
  <si>
    <t>252-Biologiya</t>
  </si>
  <si>
    <t>253-Biologiya</t>
  </si>
  <si>
    <t>251-Kimyo</t>
  </si>
  <si>
    <t>251-Geografiya</t>
  </si>
  <si>
    <t>252-Geografiya</t>
  </si>
  <si>
    <t>241-Pedagogika</t>
  </si>
  <si>
    <t>241-Biologiya</t>
  </si>
  <si>
    <t>242-Biologiya</t>
  </si>
  <si>
    <t>241-Kimyo</t>
  </si>
  <si>
    <t>241-Texnologik ta'lim</t>
  </si>
  <si>
    <t>242-Texnologik ta'lim</t>
  </si>
  <si>
    <t>241-Geografiya</t>
  </si>
  <si>
    <t>242-Geografiya</t>
  </si>
  <si>
    <t>231-Pedagogika</t>
  </si>
  <si>
    <t>231-Geografiya</t>
  </si>
  <si>
    <t>232-Geografiya</t>
  </si>
  <si>
    <t>URGANCH DAVLAT PEDAGOGIKA INSTITUTI (UrDPI) - UMUMIY DAVOMAT MONITORINGI</t>
  </si>
  <si>
    <t>Oxirgi yangilanish: 19/10/2026, 14:54:12 | Barcha 5 ta fakultet bo'yicha integratsiyalangan hisobot</t>
  </si>
  <si>
    <t>№</t>
  </si>
  <si>
    <t>Fakultet nomi</t>
  </si>
  <si>
    <t>Guruhlar soni</t>
  </si>
  <si>
    <t>HEMIS talabalar soni</t>
  </si>
  <si>
    <t>Bugun qatnashganlar</t>
  </si>
  <si>
    <t>Kunlik davomat %</t>
  </si>
  <si>
    <t>Haftalik o'rtacha %</t>
  </si>
  <si>
    <t>Holat</t>
  </si>
  <si>
    <t>97.0%</t>
  </si>
  <si>
    <t>94.2%</t>
  </si>
  <si>
    <t>A'lo</t>
  </si>
  <si>
    <t>96.2%</t>
  </si>
  <si>
    <t>98.7%</t>
  </si>
  <si>
    <t>97.1%</t>
  </si>
  <si>
    <t>97.6%</t>
  </si>
  <si>
    <t>-</t>
  </si>
  <si>
    <t>Kutilmoqda</t>
  </si>
  <si>
    <t>100.0%</t>
  </si>
  <si>
    <t>98.8%</t>
  </si>
  <si>
    <t>INSTITUT BO'YICHA JAMI</t>
  </si>
  <si>
    <t>97.4%</t>
  </si>
  <si>
    <t>Barqaror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</si>
</sst>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1" x14ac:knownFonts="1">
    <font>
      <color theme="1"/>
      <family val="2"/>
      <scheme val="minor"/>
      <sz val="11"/>
      <name val="Calibri"/>
    </font>
    <font>
      <b/>
      <color rgb="FF1E293B"/>
      <sz val="14"/>
      <name val="Calibri"/>
    </font>
    <font>
      <b/>
      <sz val="10"/>
      <name val="Calibri"/>
    </font>
    <font>
      <b/>
      <sz val="9"/>
      <name val="Calibri"/>
    </font>
    <font>
      <b/>
      <sz val="11"/>
      <name val="Calibri"/>
    </font>
    <font>
      <b/>
      <color rgb="FF0F172A"/>
      <sz val="14"/>
      <name val="Calibri"/>
    </font>
    <font>
      <i/>
      <color rgb="FF64748B"/>
      <sz val="10"/>
      <name val="Calibri"/>
    </font>
    <font>
      <b/>
      <color rgb="FFFFFFFF"/>
      <sz val="11"/>
      <name val="Calibri"/>
    </font>
    <font>
      <b/>
      <color rgb="FF16A34A"/>
    </font>
    <font>
      <i/>
      <color rgb="FF94A3B8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1E40AF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4" borderId="0" xfId="0" applyFont="1" applyFill="1" applyAlignment="1">
      <alignment vertical="center"/>
    </xf>
    <xf numFmtId="0" fontId="10" fillId="4" borderId="0" xfId="0" applyFont="1" applyFill="1" applyAlignment="1">
      <alignment horizontal="left"/>
    </xf>
    <xf numFmtId="0" fontId="10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5"/>
  <sheetViews>
    <sheetView workbookViewId="0" zoomScale="55" zoomScaleNormal="55">
      <pane xSplit="4" ySplit="3" topLeftCell="E4" activePane="bottomRight" state="frozen"/>
      <selection pane="bottomRight" activeCell="E43" sqref="E43"/>
    </sheetView>
  </sheetViews>
  <sheetFormatPr defaultRowHeight="15" outlineLevelRow="0" outlineLevelCol="0" x14ac:dyDescent="55"/>
  <cols>
    <col min="1" max="1" width="24" customWidth="1"/>
    <col min="2" max="2" width="8" customWidth="1"/>
    <col min="3" max="3" width="26" customWidth="1"/>
    <col min="4" max="4" width="12" customWidth="1"/>
    <col min="5" max="7" width="10" customWidth="1"/>
    <col min="8" max="8" width="14" customWidth="1"/>
    <col min="9" max="11" width="10" customWidth="1"/>
    <col min="12" max="12" width="14" customWidth="1"/>
    <col min="13" max="15" width="10" customWidth="1"/>
    <col min="16" max="16" width="14" customWidth="1"/>
    <col min="17" max="19" width="10" customWidth="1"/>
    <col min="20" max="20" width="14" customWidth="1"/>
    <col min="21" max="23" width="10" customWidth="1"/>
    <col min="24" max="24" width="14" customWidth="1"/>
    <col min="25" max="27" width="10" customWidth="1"/>
    <col min="28" max="29" width="14" customWidth="1"/>
  </cols>
  <sheetData>
    <row r="1" ht="32.1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1.95" customHeight="1" spans="5:27" x14ac:dyDescent="0.25">
      <c r="E2" s="2" t="s">
        <v>1</v>
      </c>
      <c r="F2" s="2"/>
      <c r="G2" s="2"/>
      <c r="I2" s="2" t="s">
        <v>2</v>
      </c>
      <c r="J2" s="2"/>
      <c r="K2" s="2"/>
      <c r="M2" s="2" t="s">
        <v>3</v>
      </c>
      <c r="N2" s="2"/>
      <c r="O2" s="2"/>
      <c r="Q2" s="2" t="s">
        <v>4</v>
      </c>
      <c r="R2" s="2"/>
      <c r="S2" s="2"/>
      <c r="U2" s="2" t="s">
        <v>5</v>
      </c>
      <c r="V2" s="2"/>
      <c r="W2" s="2"/>
      <c r="Y2" s="2" t="s">
        <v>6</v>
      </c>
      <c r="Z2" s="2"/>
      <c r="AA2" s="2"/>
    </row>
    <row r="3" ht="27.95" customHeight="1" spans="1:29" x14ac:dyDescent="0.25">
      <c r="A3" s="3" t="s">
        <v>7</v>
      </c>
      <c r="B3" s="3" t="s">
        <v>8</v>
      </c>
      <c r="C3" s="3" t="s">
        <v>9</v>
      </c>
      <c r="D3" s="3" t="s">
        <v>10</v>
      </c>
      <c r="E3" s="2" t="s">
        <v>11</v>
      </c>
      <c r="H3" s="4" t="s">
        <v>12</v>
      </c>
      <c r="I3" s="2" t="s">
        <v>13</v>
      </c>
      <c r="L3" s="4" t="s">
        <v>12</v>
      </c>
      <c r="M3" s="2" t="s">
        <v>14</v>
      </c>
      <c r="P3" s="4" t="s">
        <v>12</v>
      </c>
      <c r="Q3" s="2" t="s">
        <v>15</v>
      </c>
      <c r="T3" s="4" t="s">
        <v>12</v>
      </c>
      <c r="U3" s="2" t="s">
        <v>16</v>
      </c>
      <c r="X3" s="4" t="s">
        <v>12</v>
      </c>
      <c r="Y3" s="2" t="s">
        <v>17</v>
      </c>
      <c r="AB3" s="4" t="s">
        <v>12</v>
      </c>
      <c r="AC3" s="3" t="s">
        <v>18</v>
      </c>
    </row>
    <row r="4" spans="1:29" x14ac:dyDescent="0.25">
      <c r="A4" t="s">
        <v>19</v>
      </c>
      <c r="B4">
        <v>1</v>
      </c>
      <c r="C4" t="s">
        <v>20</v>
      </c>
      <c r="D4">
        <v>25</v>
      </c>
      <c r="E4" s="5">
        <v>24</v>
      </c>
      <c r="F4" s="5">
        <v>24</v>
      </c>
      <c r="H4" s="6">
        <f t="shared" ref="H4:H34" si="2">IFERROR(AVERAGE(E4:G4)/D4,"")</f>
        <v>0.96</v>
      </c>
      <c r="L4" s="6">
        <f t="shared" ref="L4:L35" si="0">IFERROR(AVERAGE(I4:K4)/D4,"")</f>
      </c>
      <c r="M4" s="5">
        <v>24</v>
      </c>
      <c r="P4" s="6">
        <f t="shared" ref="P4:P34" si="5">IFERROR(AVERAGE(M4:O4)/D4,"")</f>
        <v>0.96</v>
      </c>
      <c r="R4" s="5">
        <v>24</v>
      </c>
      <c r="S4" s="5">
        <v>21</v>
      </c>
      <c r="T4" s="6">
        <f t="shared" ref="T4:T34" si="3">IFERROR(AVERAGE(Q4:S4)/D4,"")</f>
        <v>0.9</v>
      </c>
      <c r="X4" s="6">
        <f t="shared" ref="X4:X35" si="1">IFERROR(AVERAGE(U4:W4)/D4,"")</f>
      </c>
      <c r="Y4" s="5">
        <v>24</v>
      </c>
      <c r="Z4" s="5">
        <v>24</v>
      </c>
      <c r="AB4" s="6">
        <f t="shared" ref="AB4:AB34" si="4">IFERROR(AVERAGE(Y4:AA4)/D4,"")</f>
        <v>0.96</v>
      </c>
      <c r="AC4" s="6">
        <f t="shared" ref="AC4:AC34" si="6">IFERROR(AVERAGE(H4,L4,P4,T4,X4,AB4),"")</f>
        <v>0.945</v>
      </c>
    </row>
    <row r="5" spans="1:29" x14ac:dyDescent="0.25">
      <c r="A5" t="s">
        <v>21</v>
      </c>
      <c r="B5">
        <v>1</v>
      </c>
      <c r="C5" t="s">
        <v>22</v>
      </c>
      <c r="D5">
        <v>22</v>
      </c>
      <c r="H5" s="6">
        <f t="shared" si="2"/>
      </c>
      <c r="L5" s="6">
        <f t="shared" si="0"/>
      </c>
      <c r="M5" s="5">
        <v>21</v>
      </c>
      <c r="P5" s="6">
        <f>IFERROR(AVERAGE(M5:O5)/D5,"")</f>
        <v>0.9545</v>
      </c>
      <c r="T5" s="6">
        <f t="shared" si="3"/>
      </c>
      <c r="X5" s="6">
        <f t="shared" si="1"/>
      </c>
      <c r="AB5" s="6">
        <f t="shared" si="4"/>
      </c>
      <c r="AC5" s="6">
        <f>IFERROR(AVERAGE(H5,L5,P5,T5,X5,AB5),"")</f>
        <v>0.9545</v>
      </c>
    </row>
    <row r="6" spans="1:29" x14ac:dyDescent="0.25">
      <c r="A6" t="s">
        <v>21</v>
      </c>
      <c r="B6">
        <v>1</v>
      </c>
      <c r="C6" t="s">
        <v>23</v>
      </c>
      <c r="D6">
        <v>8</v>
      </c>
      <c r="F6" s="5">
        <v>8</v>
      </c>
      <c r="H6" s="6">
        <f>IFERROR(AVERAGE(E6:G6)/D6,"")</f>
        <v>1</v>
      </c>
      <c r="L6" s="6">
        <f t="shared" si="0"/>
      </c>
      <c r="O6" s="5"/>
      <c r="P6" s="6">
        <f t="shared" si="5"/>
      </c>
      <c r="T6" s="6">
        <f t="shared" si="3"/>
      </c>
      <c r="X6" s="6">
        <f t="shared" si="1"/>
      </c>
      <c r="AB6" s="6">
        <f t="shared" si="4"/>
      </c>
      <c r="AC6" s="6">
        <f>IFERROR(AVERAGE(H6,L6,P6,T6,X6,AB6),"")</f>
        <v>1</v>
      </c>
    </row>
    <row r="7" spans="1:29" x14ac:dyDescent="0.25">
      <c r="A7" t="s">
        <v>21</v>
      </c>
      <c r="B7">
        <v>1</v>
      </c>
      <c r="C7" t="s">
        <v>24</v>
      </c>
      <c r="D7">
        <v>26</v>
      </c>
      <c r="H7" s="6">
        <f t="shared" si="2"/>
      </c>
      <c r="L7" s="6">
        <f t="shared" si="0"/>
      </c>
      <c r="M7" s="5">
        <v>26</v>
      </c>
      <c r="P7" s="6">
        <f>IFERROR(AVERAGE(M7:O7)/D7,"")</f>
        <v>1</v>
      </c>
      <c r="T7" s="6">
        <f t="shared" si="3"/>
      </c>
      <c r="X7" s="6">
        <f t="shared" si="1"/>
      </c>
      <c r="AB7" s="6">
        <f t="shared" si="4"/>
      </c>
      <c r="AC7" s="6">
        <f>IFERROR(AVERAGE(H7,L7,P7,T7,X7,AB7),"")</f>
        <v>1</v>
      </c>
    </row>
    <row r="8" spans="1:29" x14ac:dyDescent="0.25">
      <c r="A8" t="s">
        <v>21</v>
      </c>
      <c r="B8">
        <v>1</v>
      </c>
      <c r="C8" t="s">
        <v>25</v>
      </c>
      <c r="D8">
        <v>28</v>
      </c>
      <c r="H8" s="6">
        <f t="shared" si="2"/>
      </c>
      <c r="L8" s="6">
        <f t="shared" si="0"/>
      </c>
      <c r="M8" s="5">
        <v>24</v>
      </c>
      <c r="P8" s="6">
        <f>IFERROR(AVERAGE(M8:O8)/D8,"")</f>
        <v>0.8571</v>
      </c>
      <c r="T8" s="6">
        <f t="shared" si="3"/>
      </c>
      <c r="X8" s="6">
        <f t="shared" si="1"/>
      </c>
      <c r="AB8" s="6">
        <f t="shared" si="4"/>
      </c>
      <c r="AC8" s="6">
        <f>IFERROR(AVERAGE(H8,L8,P8,T8,X8,AB8),"")</f>
        <v>0.8571</v>
      </c>
    </row>
    <row r="9" spans="1:29" x14ac:dyDescent="0.25">
      <c r="A9" t="s">
        <v>21</v>
      </c>
      <c r="B9">
        <v>1</v>
      </c>
      <c r="C9" t="s">
        <v>26</v>
      </c>
      <c r="D9">
        <v>26</v>
      </c>
      <c r="H9" s="6">
        <f t="shared" si="2"/>
      </c>
      <c r="L9" s="6">
        <f t="shared" si="0"/>
      </c>
      <c r="N9" s="5">
        <v>24</v>
      </c>
      <c r="P9" s="6">
        <f>IFERROR(AVERAGE(M9:O9)/D9,"")</f>
        <v>0.9231</v>
      </c>
      <c r="T9" s="6">
        <f t="shared" si="3"/>
      </c>
      <c r="X9" s="6">
        <f t="shared" si="1"/>
      </c>
      <c r="AB9" s="6">
        <f t="shared" si="4"/>
      </c>
      <c r="AC9" s="6">
        <f>IFERROR(AVERAGE(H9,L9,P9,T9,X9,AB9),"")</f>
        <v>0.9231</v>
      </c>
    </row>
    <row r="10" spans="1:29" x14ac:dyDescent="0.25">
      <c r="A10" t="s">
        <v>21</v>
      </c>
      <c r="B10">
        <v>1</v>
      </c>
      <c r="C10" t="s">
        <v>27</v>
      </c>
      <c r="D10">
        <v>25</v>
      </c>
      <c r="H10" s="6">
        <f t="shared" si="2"/>
      </c>
      <c r="L10" s="6">
        <f t="shared" si="0"/>
      </c>
      <c r="P10" s="6">
        <f t="shared" si="5"/>
      </c>
      <c r="T10" s="6">
        <f t="shared" si="3"/>
      </c>
      <c r="X10" s="6">
        <f t="shared" si="1"/>
      </c>
      <c r="AB10" s="6">
        <f t="shared" si="4"/>
      </c>
      <c r="AC10" s="6">
        <f t="shared" si="6"/>
      </c>
    </row>
    <row r="11" spans="1:29" x14ac:dyDescent="0.25">
      <c r="A11" t="s">
        <v>21</v>
      </c>
      <c r="B11">
        <v>1</v>
      </c>
      <c r="C11" t="s">
        <v>28</v>
      </c>
      <c r="D11">
        <v>22</v>
      </c>
      <c r="H11" s="6">
        <f t="shared" si="2"/>
      </c>
      <c r="L11" s="6">
        <f t="shared" si="0"/>
      </c>
      <c r="N11" s="5">
        <v>22</v>
      </c>
      <c r="P11" s="6">
        <f>IFERROR(AVERAGE(M11:O11)/D11,"")</f>
        <v>1</v>
      </c>
      <c r="T11" s="6">
        <f t="shared" si="3"/>
      </c>
      <c r="X11" s="6">
        <f t="shared" si="1"/>
      </c>
      <c r="AB11" s="6">
        <f t="shared" si="4"/>
      </c>
      <c r="AC11" s="6">
        <f>IFERROR(AVERAGE(H11,L11,P11,T11,X11,AB11),"")</f>
        <v>1</v>
      </c>
    </row>
    <row r="12" spans="1:29" x14ac:dyDescent="0.25">
      <c r="A12" t="s">
        <v>21</v>
      </c>
      <c r="B12">
        <v>1</v>
      </c>
      <c r="C12" t="s">
        <v>29</v>
      </c>
      <c r="D12">
        <v>22</v>
      </c>
      <c r="H12" s="6">
        <f t="shared" si="2"/>
      </c>
      <c r="L12" s="6">
        <f t="shared" si="0"/>
      </c>
      <c r="P12" s="6">
        <f t="shared" si="5"/>
      </c>
      <c r="T12" s="6">
        <f t="shared" si="3"/>
      </c>
      <c r="X12" s="6">
        <f t="shared" si="1"/>
      </c>
      <c r="AB12" s="6">
        <f t="shared" si="4"/>
      </c>
      <c r="AC12" s="6">
        <f t="shared" si="6"/>
      </c>
    </row>
    <row r="13" spans="1:29" x14ac:dyDescent="0.25">
      <c r="A13" t="s">
        <v>21</v>
      </c>
      <c r="B13">
        <v>1</v>
      </c>
      <c r="C13" t="s">
        <v>30</v>
      </c>
      <c r="D13">
        <v>19</v>
      </c>
      <c r="H13" s="6">
        <f t="shared" si="2"/>
      </c>
      <c r="L13" s="6">
        <f t="shared" si="0"/>
      </c>
      <c r="M13" s="5"/>
      <c r="O13" s="5">
        <v>18</v>
      </c>
      <c r="P13" s="6">
        <f>IFERROR(AVERAGE(M13:O13)/D13,"")</f>
        <v>0.9474</v>
      </c>
      <c r="T13" s="6">
        <f t="shared" si="3"/>
      </c>
      <c r="X13" s="6">
        <f t="shared" si="1"/>
      </c>
      <c r="AB13" s="6">
        <f t="shared" si="4"/>
      </c>
      <c r="AC13" s="6">
        <f>IFERROR(AVERAGE(H13,L13,P13,T13,X13,AB13),"")</f>
        <v>0.9474</v>
      </c>
    </row>
    <row r="14" spans="1:29" x14ac:dyDescent="0.25">
      <c r="A14" t="s">
        <v>21</v>
      </c>
      <c r="B14">
        <v>1</v>
      </c>
      <c r="C14" t="s">
        <v>31</v>
      </c>
      <c r="D14">
        <v>19</v>
      </c>
      <c r="H14" s="6">
        <f t="shared" si="2"/>
      </c>
      <c r="L14" s="6">
        <f t="shared" si="0"/>
      </c>
      <c r="M14" s="5"/>
      <c r="P14" s="6">
        <f t="shared" si="5"/>
      </c>
      <c r="T14" s="6">
        <f t="shared" si="3"/>
      </c>
      <c r="X14" s="6">
        <f t="shared" si="1"/>
      </c>
      <c r="AB14" s="6">
        <f t="shared" si="4"/>
      </c>
      <c r="AC14" s="6">
        <f t="shared" si="6"/>
      </c>
    </row>
    <row r="15" spans="1:29" x14ac:dyDescent="0.25">
      <c r="A15" t="s">
        <v>21</v>
      </c>
      <c r="B15">
        <v>2</v>
      </c>
      <c r="C15" t="s">
        <v>32</v>
      </c>
      <c r="D15">
        <v>26</v>
      </c>
      <c r="H15" s="6">
        <f t="shared" si="2"/>
      </c>
      <c r="L15" s="6">
        <f t="shared" si="0"/>
      </c>
      <c r="O15" s="5">
        <v>23</v>
      </c>
      <c r="P15" s="6">
        <f>IFERROR(AVERAGE(M15:O15)/D15,"")</f>
        <v>0.8846</v>
      </c>
      <c r="T15" s="6">
        <f t="shared" si="3"/>
      </c>
      <c r="X15" s="6">
        <f t="shared" si="1"/>
      </c>
      <c r="AB15" s="6">
        <f t="shared" si="4"/>
      </c>
      <c r="AC15" s="6">
        <f>IFERROR(AVERAGE(H15,L15,P15,T15,X15,AB15),"")</f>
        <v>0.8846</v>
      </c>
    </row>
    <row r="16" spans="1:29" x14ac:dyDescent="0.25">
      <c r="A16" t="s">
        <v>21</v>
      </c>
      <c r="B16">
        <v>2</v>
      </c>
      <c r="C16" t="s">
        <v>33</v>
      </c>
      <c r="D16">
        <v>26</v>
      </c>
      <c r="H16" s="6">
        <f t="shared" si="2"/>
      </c>
      <c r="L16" s="6">
        <f t="shared" si="0"/>
      </c>
      <c r="P16" s="6">
        <f t="shared" si="5"/>
      </c>
      <c r="T16" s="6">
        <f t="shared" si="3"/>
      </c>
      <c r="X16" s="6">
        <f t="shared" si="1"/>
      </c>
      <c r="AB16" s="6">
        <f t="shared" si="4"/>
      </c>
      <c r="AC16" s="6">
        <f t="shared" si="6"/>
      </c>
    </row>
    <row r="17" spans="1:29" x14ac:dyDescent="0.25">
      <c r="A17" t="s">
        <v>21</v>
      </c>
      <c r="B17">
        <v>2</v>
      </c>
      <c r="C17" t="s">
        <v>34</v>
      </c>
      <c r="D17">
        <v>13</v>
      </c>
      <c r="H17" s="6">
        <f t="shared" si="2"/>
      </c>
      <c r="L17" s="6">
        <f t="shared" si="0"/>
      </c>
      <c r="P17" s="6">
        <f t="shared" si="5"/>
      </c>
      <c r="T17" s="6">
        <f t="shared" si="3"/>
      </c>
      <c r="X17" s="6">
        <f t="shared" si="1"/>
      </c>
      <c r="AB17" s="6">
        <f t="shared" si="4"/>
      </c>
      <c r="AC17" s="6">
        <f t="shared" si="6"/>
      </c>
    </row>
    <row r="18" spans="1:29" x14ac:dyDescent="0.25">
      <c r="A18" t="s">
        <v>21</v>
      </c>
      <c r="B18">
        <v>2</v>
      </c>
      <c r="C18" t="s">
        <v>35</v>
      </c>
      <c r="D18">
        <v>21</v>
      </c>
      <c r="H18" s="6">
        <f t="shared" si="2"/>
      </c>
      <c r="L18" s="6">
        <f t="shared" si="0"/>
      </c>
      <c r="O18" s="5"/>
      <c r="P18" s="6">
        <f t="shared" si="5"/>
      </c>
      <c r="T18" s="6">
        <f t="shared" si="3"/>
      </c>
      <c r="X18" s="6">
        <f t="shared" si="1"/>
      </c>
      <c r="AB18" s="6">
        <f t="shared" si="4"/>
      </c>
      <c r="AC18" s="6">
        <f t="shared" si="6"/>
      </c>
    </row>
    <row r="19" spans="1:29" x14ac:dyDescent="0.25">
      <c r="A19" t="s">
        <v>21</v>
      </c>
      <c r="B19">
        <v>2</v>
      </c>
      <c r="C19" t="s">
        <v>36</v>
      </c>
      <c r="D19">
        <v>23</v>
      </c>
      <c r="H19" s="6">
        <f t="shared" si="2"/>
      </c>
      <c r="L19" s="6">
        <f t="shared" si="0"/>
      </c>
      <c r="P19" s="6">
        <f t="shared" si="5"/>
      </c>
      <c r="T19" s="6">
        <f t="shared" si="3"/>
      </c>
      <c r="X19" s="6">
        <f t="shared" si="1"/>
      </c>
      <c r="AB19" s="6">
        <f t="shared" si="4"/>
      </c>
      <c r="AC19" s="6">
        <f t="shared" si="6"/>
      </c>
    </row>
    <row r="20" spans="1:29" x14ac:dyDescent="0.25">
      <c r="A20" t="s">
        <v>21</v>
      </c>
      <c r="B20">
        <v>2</v>
      </c>
      <c r="C20" t="s">
        <v>37</v>
      </c>
      <c r="D20">
        <v>22</v>
      </c>
      <c r="H20" s="6">
        <f t="shared" si="2"/>
      </c>
      <c r="L20" s="6">
        <f t="shared" si="0"/>
      </c>
      <c r="P20" s="6">
        <f t="shared" si="5"/>
      </c>
      <c r="T20" s="6">
        <f t="shared" si="3"/>
      </c>
      <c r="X20" s="6">
        <f t="shared" si="1"/>
      </c>
      <c r="AB20" s="6">
        <f t="shared" si="4"/>
      </c>
      <c r="AC20" s="6">
        <f t="shared" si="6"/>
      </c>
    </row>
    <row r="21" spans="1:29" x14ac:dyDescent="0.25">
      <c r="A21" t="s">
        <v>21</v>
      </c>
      <c r="B21">
        <v>2</v>
      </c>
      <c r="C21" t="s">
        <v>38</v>
      </c>
      <c r="D21">
        <v>27</v>
      </c>
      <c r="H21" s="6">
        <f t="shared" si="2"/>
      </c>
      <c r="L21" s="6">
        <f t="shared" si="0"/>
      </c>
      <c r="N21" s="5"/>
      <c r="P21" s="6">
        <f t="shared" si="5"/>
      </c>
      <c r="T21" s="6">
        <f t="shared" si="3"/>
      </c>
      <c r="X21" s="6">
        <f t="shared" si="1"/>
      </c>
      <c r="AB21" s="6">
        <f t="shared" si="4"/>
      </c>
      <c r="AC21" s="6">
        <f t="shared" si="6"/>
      </c>
    </row>
    <row r="22" spans="1:29" x14ac:dyDescent="0.25">
      <c r="A22" t="s">
        <v>21</v>
      </c>
      <c r="B22">
        <v>2</v>
      </c>
      <c r="C22" t="s">
        <v>39</v>
      </c>
      <c r="D22">
        <v>27</v>
      </c>
      <c r="H22" s="6">
        <f t="shared" si="2"/>
      </c>
      <c r="L22" s="6">
        <f t="shared" si="0"/>
      </c>
      <c r="P22" s="6">
        <f t="shared" si="5"/>
      </c>
      <c r="T22" s="6">
        <f t="shared" si="3"/>
      </c>
      <c r="X22" s="6">
        <f t="shared" si="1"/>
      </c>
      <c r="AB22" s="6">
        <f t="shared" si="4"/>
      </c>
      <c r="AC22" s="6">
        <f t="shared" si="6"/>
      </c>
    </row>
    <row r="23" spans="1:29" x14ac:dyDescent="0.25">
      <c r="A23" t="s">
        <v>21</v>
      </c>
      <c r="B23">
        <v>3</v>
      </c>
      <c r="C23" t="s">
        <v>40</v>
      </c>
      <c r="D23">
        <v>21</v>
      </c>
      <c r="H23" s="6">
        <f t="shared" si="2"/>
      </c>
      <c r="L23" s="6">
        <f t="shared" si="0"/>
      </c>
      <c r="P23" s="6">
        <f t="shared" si="5"/>
      </c>
      <c r="T23" s="6">
        <f t="shared" si="3"/>
      </c>
      <c r="X23" s="6">
        <f t="shared" si="1"/>
      </c>
      <c r="AB23" s="6">
        <f t="shared" si="4"/>
      </c>
      <c r="AC23" s="6">
        <f t="shared" si="6"/>
      </c>
    </row>
    <row r="24" spans="1:29" x14ac:dyDescent="0.25">
      <c r="A24" t="s">
        <v>21</v>
      </c>
      <c r="B24">
        <v>3</v>
      </c>
      <c r="C24" t="s">
        <v>41</v>
      </c>
      <c r="D24">
        <v>21</v>
      </c>
      <c r="H24" s="6">
        <f t="shared" si="2"/>
      </c>
      <c r="L24" s="6">
        <f t="shared" si="0"/>
      </c>
      <c r="P24" s="6">
        <f t="shared" si="5"/>
      </c>
      <c r="T24" s="6">
        <f t="shared" si="3"/>
      </c>
      <c r="X24" s="6">
        <f t="shared" si="1"/>
      </c>
      <c r="AB24" s="6">
        <f t="shared" si="4"/>
      </c>
      <c r="AC24" s="6">
        <f t="shared" si="6"/>
      </c>
    </row>
    <row r="25" spans="1:29" x14ac:dyDescent="0.25">
      <c r="A25" t="s">
        <v>21</v>
      </c>
      <c r="B25">
        <v>3</v>
      </c>
      <c r="C25" t="s">
        <v>42</v>
      </c>
      <c r="D25">
        <v>11</v>
      </c>
      <c r="H25" s="6">
        <f t="shared" si="2"/>
      </c>
      <c r="L25" s="6">
        <f t="shared" si="0"/>
      </c>
      <c r="P25" s="6">
        <f t="shared" si="5"/>
      </c>
      <c r="T25" s="6">
        <f t="shared" si="3"/>
      </c>
      <c r="X25" s="6">
        <f t="shared" si="1"/>
      </c>
      <c r="AB25" s="6">
        <f t="shared" si="4"/>
      </c>
      <c r="AC25" s="6">
        <f t="shared" si="6"/>
      </c>
    </row>
    <row r="26" spans="1:29" x14ac:dyDescent="0.25">
      <c r="A26" t="s">
        <v>21</v>
      </c>
      <c r="B26">
        <v>3</v>
      </c>
      <c r="C26" t="s">
        <v>43</v>
      </c>
      <c r="D26">
        <v>21</v>
      </c>
      <c r="H26" s="6">
        <f t="shared" si="2"/>
      </c>
      <c r="L26" s="6">
        <f t="shared" si="0"/>
      </c>
      <c r="N26" s="5"/>
      <c r="O26" s="5">
        <v>19</v>
      </c>
      <c r="P26" s="6">
        <f>IFERROR(AVERAGE(M26:O26)/D26,"")</f>
        <v>0.9048</v>
      </c>
      <c r="T26" s="6">
        <f t="shared" si="3"/>
      </c>
      <c r="X26" s="6">
        <f t="shared" si="1"/>
      </c>
      <c r="AB26" s="6">
        <f t="shared" si="4"/>
      </c>
      <c r="AC26" s="6">
        <f>IFERROR(AVERAGE(H26,L26,P26,T26,X26,AB26),"")</f>
        <v>0.9048</v>
      </c>
    </row>
    <row r="27" spans="1:29" x14ac:dyDescent="0.25">
      <c r="A27" t="s">
        <v>21</v>
      </c>
      <c r="B27">
        <v>3</v>
      </c>
      <c r="C27" t="s">
        <v>44</v>
      </c>
      <c r="D27">
        <v>21</v>
      </c>
      <c r="H27" s="6">
        <f t="shared" si="2"/>
      </c>
      <c r="L27" s="6">
        <f t="shared" si="0"/>
      </c>
      <c r="P27" s="6">
        <f t="shared" si="5"/>
      </c>
      <c r="T27" s="6">
        <f t="shared" si="3"/>
      </c>
      <c r="X27" s="6">
        <f t="shared" si="1"/>
      </c>
      <c r="AB27" s="6">
        <f t="shared" si="4"/>
      </c>
      <c r="AC27" s="6">
        <f t="shared" si="6"/>
      </c>
    </row>
    <row r="28" spans="1:29" x14ac:dyDescent="0.25">
      <c r="A28" t="s">
        <v>21</v>
      </c>
      <c r="B28">
        <v>3</v>
      </c>
      <c r="C28" t="s">
        <v>45</v>
      </c>
      <c r="D28">
        <v>22</v>
      </c>
      <c r="H28" s="6">
        <f t="shared" si="2"/>
      </c>
      <c r="L28" s="6">
        <f t="shared" si="0"/>
      </c>
      <c r="O28" s="5"/>
      <c r="P28" s="6">
        <f t="shared" si="5"/>
      </c>
      <c r="T28" s="6">
        <f t="shared" si="3"/>
      </c>
      <c r="X28" s="6">
        <f t="shared" si="1"/>
      </c>
      <c r="AB28" s="6">
        <f t="shared" si="4"/>
      </c>
      <c r="AC28" s="6">
        <f t="shared" si="6"/>
      </c>
    </row>
    <row r="29" spans="1:29" x14ac:dyDescent="0.25">
      <c r="A29" t="s">
        <v>21</v>
      </c>
      <c r="B29">
        <v>3</v>
      </c>
      <c r="C29" t="s">
        <v>46</v>
      </c>
      <c r="D29">
        <v>28</v>
      </c>
      <c r="H29" s="6">
        <f t="shared" si="2"/>
      </c>
      <c r="L29" s="6">
        <f t="shared" si="0"/>
      </c>
      <c r="P29" s="6">
        <f t="shared" si="5"/>
      </c>
      <c r="T29" s="6">
        <f t="shared" si="3"/>
      </c>
      <c r="X29" s="6">
        <f t="shared" si="1"/>
      </c>
      <c r="AB29" s="6">
        <f t="shared" si="4"/>
      </c>
      <c r="AC29" s="6">
        <f t="shared" si="6"/>
      </c>
    </row>
    <row r="30" spans="1:29" x14ac:dyDescent="0.25">
      <c r="A30" t="s">
        <v>21</v>
      </c>
      <c r="B30">
        <v>4</v>
      </c>
      <c r="C30" t="s">
        <v>47</v>
      </c>
      <c r="D30">
        <v>22</v>
      </c>
      <c r="H30" s="6">
        <f t="shared" si="2"/>
      </c>
      <c r="L30" s="6">
        <f t="shared" si="0"/>
      </c>
      <c r="P30" s="6">
        <f t="shared" si="5"/>
      </c>
      <c r="T30" s="6">
        <f t="shared" si="3"/>
      </c>
      <c r="X30" s="6">
        <f t="shared" si="1"/>
      </c>
      <c r="AB30" s="6">
        <f t="shared" si="4"/>
      </c>
      <c r="AC30" s="6">
        <f t="shared" si="6"/>
      </c>
    </row>
    <row r="31" spans="1:29" x14ac:dyDescent="0.25">
      <c r="A31" t="s">
        <v>21</v>
      </c>
      <c r="B31">
        <v>4</v>
      </c>
      <c r="C31" t="s">
        <v>48</v>
      </c>
      <c r="D31">
        <v>24</v>
      </c>
      <c r="H31" s="6">
        <f t="shared" si="2"/>
      </c>
      <c r="L31" s="6">
        <f t="shared" si="0"/>
      </c>
      <c r="P31" s="6">
        <f t="shared" si="5"/>
      </c>
      <c r="T31" s="6">
        <f t="shared" si="3"/>
      </c>
      <c r="X31" s="6">
        <f t="shared" si="1"/>
      </c>
      <c r="AB31" s="6">
        <f t="shared" si="4"/>
      </c>
      <c r="AC31" s="6">
        <f t="shared" si="6"/>
      </c>
    </row>
    <row r="32" spans="1:29" x14ac:dyDescent="0.25">
      <c r="A32" t="s">
        <v>21</v>
      </c>
      <c r="B32">
        <v>4</v>
      </c>
      <c r="C32" t="s">
        <v>49</v>
      </c>
      <c r="D32">
        <v>24</v>
      </c>
      <c r="H32" s="6">
        <f t="shared" si="2"/>
      </c>
      <c r="L32" s="6">
        <f t="shared" si="0"/>
      </c>
      <c r="P32" s="6">
        <f t="shared" si="5"/>
      </c>
      <c r="T32" s="6">
        <f t="shared" si="3"/>
      </c>
      <c r="X32" s="6">
        <f t="shared" si="1"/>
      </c>
      <c r="AB32" s="6">
        <f t="shared" si="4"/>
      </c>
      <c r="AC32" s="6">
        <f t="shared" si="6"/>
      </c>
    </row>
    <row r="33" spans="1:29" x14ac:dyDescent="0.25">
      <c r="A33" t="s">
        <v>21</v>
      </c>
      <c r="B33">
        <v>4</v>
      </c>
      <c r="C33" t="s">
        <v>50</v>
      </c>
      <c r="D33">
        <v>27</v>
      </c>
      <c r="H33" s="6">
        <f t="shared" si="2"/>
      </c>
      <c r="L33" s="6">
        <f t="shared" si="0"/>
      </c>
      <c r="P33" s="6">
        <f t="shared" si="5"/>
      </c>
      <c r="T33" s="6">
        <f t="shared" si="3"/>
      </c>
      <c r="X33" s="6">
        <f t="shared" si="1"/>
      </c>
      <c r="AB33" s="6">
        <f t="shared" si="4"/>
      </c>
      <c r="AC33" s="6">
        <f t="shared" si="6"/>
      </c>
    </row>
    <row r="34" spans="1:29" x14ac:dyDescent="0.25">
      <c r="A34" t="s">
        <v>21</v>
      </c>
      <c r="B34">
        <v>4</v>
      </c>
      <c r="C34" t="s">
        <v>51</v>
      </c>
      <c r="D34">
        <v>27</v>
      </c>
      <c r="H34" s="6">
        <f t="shared" si="2"/>
      </c>
      <c r="L34" s="6">
        <f t="shared" si="0"/>
      </c>
      <c r="P34" s="6">
        <f t="shared" si="5"/>
      </c>
      <c r="T34" s="6">
        <f t="shared" si="3"/>
      </c>
      <c r="X34" s="6">
        <f t="shared" si="1"/>
      </c>
      <c r="AB34" s="6">
        <f t="shared" si="4"/>
      </c>
      <c r="AC34" s="6">
        <f t="shared" si="6"/>
      </c>
    </row>
    <row r="35" spans="3:29" x14ac:dyDescent="0.25">
      <c r="C35" s="7" t="s">
        <v>52</v>
      </c>
      <c r="D35" s="7">
        <f>SUM(D4:D34)</f>
        <v>696</v>
      </c>
      <c r="E35">
        <f>SUM(E4:E34)</f>
        <v>24</v>
      </c>
      <c r="F35">
        <f>SUM(F4:F34)</f>
        <v>32</v>
      </c>
      <c r="G35">
        <f>SUM(G4:G34)</f>
      </c>
      <c r="H35" s="6">
        <f>IFERROR(AVERAGE(E35:G35)/D35,"")</f>
        <v>0.0402</v>
      </c>
      <c r="I35">
        <f>SUM(I4:I34)</f>
      </c>
      <c r="J35">
        <f>SUM(J4:J34)</f>
      </c>
      <c r="K35">
        <f>SUM(K4:K34)</f>
      </c>
      <c r="L35" s="6">
        <f t="shared" si="0"/>
      </c>
      <c r="M35">
        <f>SUM(M4:M34)</f>
        <v>95</v>
      </c>
      <c r="N35">
        <f>SUM(N4:N34)</f>
        <v>46</v>
      </c>
      <c r="O35">
        <f>SUM(O4:O34)</f>
        <v>60</v>
      </c>
      <c r="P35" s="6">
        <f>IFERROR(AVERAGE(M35:O35)/D35,"")</f>
        <v>0.0963</v>
      </c>
      <c r="Q35">
        <f>SUM(Q4:Q34)</f>
      </c>
      <c r="R35">
        <f>SUM(R4:R34)</f>
        <v>24</v>
      </c>
      <c r="S35">
        <f>SUM(S4:S34)</f>
        <v>21</v>
      </c>
      <c r="T35" s="6">
        <f>IFERROR(AVERAGE(Q35:S35)/D35,"")</f>
        <v>0.0323</v>
      </c>
      <c r="U35">
        <f>SUM(U4:U34)</f>
      </c>
      <c r="V35">
        <f>SUM(V4:V34)</f>
      </c>
      <c r="W35">
        <f>SUM(W4:W34)</f>
      </c>
      <c r="X35" s="6">
        <f t="shared" si="1"/>
      </c>
      <c r="Y35">
        <f>SUM(Y4:Y34)</f>
        <v>24</v>
      </c>
      <c r="Z35">
        <f>SUM(Z4:Z34)</f>
        <v>24</v>
      </c>
      <c r="AA35">
        <f>SUM(AA4:AA34)</f>
      </c>
      <c r="AB35" s="6">
        <f>IFERROR(AVERAGE(Y35:AA35)/D35,"")</f>
        <v>0.0345</v>
      </c>
      <c r="AC35" s="6">
        <f>IFERROR(AVERAGE(H35,L35,P35,T35,X35,AB35),"")</f>
        <v>0.0508</v>
      </c>
    </row>
  </sheetData>
  <mergeCells count="7">
    <mergeCell ref="A1:AC1"/>
    <mergeCell ref="E2:G2"/>
    <mergeCell ref="I2:K2"/>
    <mergeCell ref="M2:O2"/>
    <mergeCell ref="Q2:S2"/>
    <mergeCell ref="U2:W2"/>
    <mergeCell ref="Y2:AA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4"/>
  <sheetViews>
    <sheetView workbookViewId="0" zoomScale="55" zoomScaleNormal="55">
      <pane xSplit="4" ySplit="3" topLeftCell="E4" activePane="bottomRight" state="frozen"/>
      <selection pane="bottomRight" activeCell="AB12" sqref="AB12"/>
    </sheetView>
  </sheetViews>
  <sheetFormatPr defaultRowHeight="15" outlineLevelRow="0" outlineLevelCol="0" x14ac:dyDescent="55"/>
  <cols>
    <col min="1" max="1" width="24" customWidth="1"/>
    <col min="2" max="2" width="8" customWidth="1"/>
    <col min="3" max="3" width="32.85546875" customWidth="1"/>
    <col min="4" max="4" width="12" customWidth="1"/>
    <col min="5" max="7" width="10" customWidth="1"/>
    <col min="8" max="8" width="14" customWidth="1"/>
    <col min="9" max="11" width="10" customWidth="1"/>
    <col min="12" max="12" width="14" customWidth="1"/>
    <col min="13" max="15" width="10" customWidth="1"/>
    <col min="16" max="16" width="14" customWidth="1"/>
    <col min="17" max="19" width="10" customWidth="1"/>
    <col min="20" max="20" width="14" customWidth="1"/>
    <col min="21" max="23" width="10" customWidth="1"/>
    <col min="24" max="24" width="14" customWidth="1"/>
    <col min="25" max="27" width="10" customWidth="1"/>
    <col min="28" max="29" width="14" customWidth="1"/>
  </cols>
  <sheetData>
    <row r="1" ht="32.1" customHeight="1" spans="1:29" x14ac:dyDescent="0.25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1.95" customHeight="1" spans="5:27" x14ac:dyDescent="0.25">
      <c r="E2" s="2" t="s">
        <v>1</v>
      </c>
      <c r="F2" s="2"/>
      <c r="G2" s="2"/>
      <c r="I2" s="2" t="s">
        <v>2</v>
      </c>
      <c r="J2" s="2"/>
      <c r="K2" s="2"/>
      <c r="M2" s="2" t="s">
        <v>3</v>
      </c>
      <c r="N2" s="2"/>
      <c r="O2" s="2"/>
      <c r="Q2" s="2" t="s">
        <v>4</v>
      </c>
      <c r="R2" s="2"/>
      <c r="S2" s="2"/>
      <c r="U2" s="2" t="s">
        <v>5</v>
      </c>
      <c r="V2" s="2"/>
      <c r="W2" s="2"/>
      <c r="Y2" s="2" t="s">
        <v>6</v>
      </c>
      <c r="Z2" s="2"/>
      <c r="AA2" s="2"/>
    </row>
    <row r="3" ht="27.95" customHeight="1" spans="1:29" x14ac:dyDescent="0.25">
      <c r="A3" s="3" t="s">
        <v>7</v>
      </c>
      <c r="B3" s="3" t="s">
        <v>8</v>
      </c>
      <c r="C3" s="3" t="s">
        <v>9</v>
      </c>
      <c r="D3" s="3" t="s">
        <v>10</v>
      </c>
      <c r="E3" s="2" t="s">
        <v>11</v>
      </c>
      <c r="H3" s="4" t="s">
        <v>12</v>
      </c>
      <c r="I3" s="2" t="s">
        <v>13</v>
      </c>
      <c r="L3" s="4" t="s">
        <v>12</v>
      </c>
      <c r="M3" s="2" t="s">
        <v>14</v>
      </c>
      <c r="P3" s="4" t="s">
        <v>12</v>
      </c>
      <c r="Q3" s="2" t="s">
        <v>15</v>
      </c>
      <c r="T3" s="4" t="s">
        <v>12</v>
      </c>
      <c r="U3" s="2" t="s">
        <v>16</v>
      </c>
      <c r="X3" s="4" t="s">
        <v>12</v>
      </c>
      <c r="Y3" s="2" t="s">
        <v>17</v>
      </c>
      <c r="AB3" s="4" t="s">
        <v>12</v>
      </c>
      <c r="AC3" s="3" t="s">
        <v>18</v>
      </c>
    </row>
    <row r="4" spans="1:29" x14ac:dyDescent="0.25">
      <c r="A4" t="s">
        <v>54</v>
      </c>
      <c r="B4">
        <v>1</v>
      </c>
      <c r="C4" t="s">
        <v>55</v>
      </c>
      <c r="D4">
        <v>26</v>
      </c>
      <c r="F4" s="5">
        <v>25</v>
      </c>
      <c r="H4" s="6">
        <f t="shared" ref="H4:H29" si="4">IFERROR(AVERAGE(E4:G4)/D4,"")</f>
        <v>0.9615</v>
      </c>
      <c r="L4" s="6">
        <f t="shared" ref="L4:L30" si="0">IFERROR(AVERAGE(I4:K4)/D4,"")</f>
      </c>
      <c r="M4" s="5"/>
      <c r="O4" s="5"/>
      <c r="P4" s="6">
        <f t="shared" ref="P4:P35" si="1">IFERROR(AVERAGE(M4:O4)/D4,"")</f>
      </c>
      <c r="Q4" s="5">
        <v>25</v>
      </c>
      <c r="T4" s="6">
        <f t="shared" ref="T4:T35" si="5">IFERROR(AVERAGE(Q4:S4)/D4,"")</f>
        <v>0.9615</v>
      </c>
      <c r="X4" s="6">
        <f t="shared" ref="X4:X35" si="2">IFERROR(AVERAGE(U4:W4)/D4,"")</f>
      </c>
      <c r="AB4" s="6">
        <f t="shared" ref="AB4:AB35" si="3">IFERROR(AVERAGE(Y4:AA4)/D4,"")</f>
      </c>
      <c r="AC4" s="6">
        <f t="shared" ref="AC4:AC35" si="6">IFERROR(AVERAGE(H4,L4,P4,T4,X4,AB4),"")</f>
        <v>0.9615</v>
      </c>
    </row>
    <row r="5" spans="2:29" x14ac:dyDescent="0.25">
      <c r="B5">
        <v>1</v>
      </c>
      <c r="C5" t="s">
        <v>56</v>
      </c>
      <c r="D5">
        <v>18</v>
      </c>
      <c r="H5" s="6">
        <f t="shared" si="4"/>
      </c>
      <c r="L5" s="6">
        <f t="shared" si="0"/>
      </c>
      <c r="M5" s="5"/>
      <c r="O5" s="5"/>
      <c r="P5" s="6">
        <f t="shared" si="1"/>
      </c>
      <c r="T5" s="6">
        <f t="shared" si="5"/>
      </c>
      <c r="X5" s="6">
        <f t="shared" si="2"/>
      </c>
      <c r="AB5" s="6">
        <f t="shared" si="3"/>
      </c>
      <c r="AC5" s="6">
        <f t="shared" si="6"/>
      </c>
    </row>
    <row r="6" spans="2:29" x14ac:dyDescent="0.25">
      <c r="B6">
        <v>1</v>
      </c>
      <c r="C6" t="s">
        <v>57</v>
      </c>
      <c r="D6">
        <v>31</v>
      </c>
      <c r="H6" s="6">
        <f t="shared" si="4"/>
      </c>
      <c r="L6" s="6">
        <f t="shared" si="0"/>
      </c>
      <c r="M6" s="5"/>
      <c r="O6" s="5"/>
      <c r="P6" s="6">
        <f t="shared" si="1"/>
      </c>
      <c r="T6" s="6">
        <f t="shared" si="5"/>
      </c>
      <c r="X6" s="6">
        <f t="shared" si="2"/>
      </c>
      <c r="AA6" s="5">
        <v>31</v>
      </c>
      <c r="AB6" s="6">
        <f>IFERROR(AVERAGE(Y6:AA6)/D6,"")</f>
        <v>1</v>
      </c>
      <c r="AC6" s="6">
        <f>IFERROR(AVERAGE(H6,L6,P6,T6,X6,AB6),"")</f>
        <v>1</v>
      </c>
    </row>
    <row r="7" spans="2:29" x14ac:dyDescent="0.25">
      <c r="B7">
        <v>1</v>
      </c>
      <c r="C7" t="s">
        <v>58</v>
      </c>
      <c r="D7">
        <v>27</v>
      </c>
      <c r="H7" s="6">
        <f t="shared" si="4"/>
      </c>
      <c r="L7" s="6">
        <f t="shared" si="0"/>
      </c>
      <c r="M7" s="5"/>
      <c r="O7" s="5"/>
      <c r="P7" s="6">
        <f t="shared" si="1"/>
      </c>
      <c r="T7" s="6">
        <f t="shared" si="5"/>
      </c>
      <c r="X7" s="6">
        <f t="shared" si="2"/>
      </c>
      <c r="AB7" s="6">
        <f t="shared" si="3"/>
      </c>
      <c r="AC7" s="6">
        <f t="shared" si="6"/>
      </c>
    </row>
    <row r="8" spans="2:29" x14ac:dyDescent="0.25">
      <c r="B8">
        <v>1</v>
      </c>
      <c r="C8" t="s">
        <v>59</v>
      </c>
      <c r="D8">
        <v>24</v>
      </c>
      <c r="H8" s="6">
        <f t="shared" si="4"/>
      </c>
      <c r="L8" s="6">
        <f t="shared" si="0"/>
      </c>
      <c r="M8" s="5"/>
      <c r="O8" s="5"/>
      <c r="P8" s="6">
        <f t="shared" si="1"/>
      </c>
      <c r="T8" s="6">
        <f t="shared" si="5"/>
      </c>
      <c r="X8" s="6">
        <f t="shared" si="2"/>
      </c>
      <c r="AB8" s="6">
        <f t="shared" si="3"/>
      </c>
      <c r="AC8" s="6">
        <f t="shared" si="6"/>
      </c>
    </row>
    <row r="9" spans="2:29" x14ac:dyDescent="0.25">
      <c r="B9">
        <v>1</v>
      </c>
      <c r="C9" t="s">
        <v>60</v>
      </c>
      <c r="D9">
        <v>18</v>
      </c>
      <c r="H9" s="6">
        <f t="shared" si="4"/>
      </c>
      <c r="L9" s="6">
        <f t="shared" si="0"/>
      </c>
      <c r="M9" s="5"/>
      <c r="O9" s="5"/>
      <c r="P9" s="6">
        <f t="shared" si="1"/>
      </c>
      <c r="T9" s="6">
        <f t="shared" si="5"/>
      </c>
      <c r="X9" s="6">
        <f t="shared" si="2"/>
      </c>
      <c r="AA9" s="5">
        <v>18</v>
      </c>
      <c r="AB9" s="6">
        <f>IFERROR(AVERAGE(Y9:AA9)/D9,"")</f>
        <v>1</v>
      </c>
      <c r="AC9" s="6">
        <f>IFERROR(AVERAGE(H9,L9,P9,T9,X9,AB9),"")</f>
        <v>1</v>
      </c>
    </row>
    <row r="10" spans="2:29" x14ac:dyDescent="0.25">
      <c r="B10">
        <v>1</v>
      </c>
      <c r="C10" t="s">
        <v>61</v>
      </c>
      <c r="D10">
        <v>16</v>
      </c>
      <c r="H10" s="6">
        <f t="shared" si="4"/>
      </c>
      <c r="L10" s="6">
        <f t="shared" si="0"/>
      </c>
      <c r="M10" s="5"/>
      <c r="O10" s="5"/>
      <c r="P10" s="6">
        <f t="shared" si="1"/>
      </c>
      <c r="T10" s="6">
        <f t="shared" si="5"/>
      </c>
      <c r="X10" s="6">
        <f t="shared" si="2"/>
      </c>
      <c r="AB10" s="6">
        <f t="shared" si="3"/>
      </c>
      <c r="AC10" s="6">
        <f t="shared" si="6"/>
      </c>
    </row>
    <row r="11" spans="2:29" x14ac:dyDescent="0.25">
      <c r="B11">
        <v>1</v>
      </c>
      <c r="C11" t="s">
        <v>62</v>
      </c>
      <c r="D11">
        <v>15</v>
      </c>
      <c r="H11" s="6">
        <f t="shared" si="4"/>
      </c>
      <c r="L11" s="6">
        <f t="shared" si="0"/>
      </c>
      <c r="M11" s="5"/>
      <c r="O11" s="5"/>
      <c r="P11" s="6">
        <f t="shared" si="1"/>
      </c>
      <c r="T11" s="6">
        <f t="shared" si="5"/>
      </c>
      <c r="X11" s="6">
        <f t="shared" si="2"/>
      </c>
      <c r="AB11" s="6">
        <f t="shared" si="3"/>
      </c>
      <c r="AC11" s="6">
        <f t="shared" si="6"/>
      </c>
    </row>
    <row r="12" spans="2:29" x14ac:dyDescent="0.25">
      <c r="B12">
        <v>1</v>
      </c>
      <c r="C12" t="s">
        <v>63</v>
      </c>
      <c r="D12">
        <v>12</v>
      </c>
      <c r="H12" s="6">
        <f t="shared" si="4"/>
      </c>
      <c r="L12" s="6">
        <f t="shared" si="0"/>
      </c>
      <c r="M12" s="5"/>
      <c r="O12" s="5"/>
      <c r="P12" s="6">
        <f t="shared" si="1"/>
      </c>
      <c r="T12" s="6">
        <f t="shared" si="5"/>
      </c>
      <c r="X12" s="6">
        <f t="shared" si="2"/>
      </c>
      <c r="AB12" s="6">
        <f t="shared" si="3"/>
      </c>
      <c r="AC12" s="6">
        <f t="shared" si="6"/>
      </c>
    </row>
    <row r="13" spans="2:29" x14ac:dyDescent="0.25">
      <c r="B13">
        <v>1</v>
      </c>
      <c r="C13" t="s">
        <v>64</v>
      </c>
      <c r="D13">
        <v>14</v>
      </c>
      <c r="H13" s="6">
        <f t="shared" si="4"/>
      </c>
      <c r="L13" s="6">
        <f t="shared" si="0"/>
      </c>
      <c r="M13" s="5"/>
      <c r="O13" s="5"/>
      <c r="P13" s="6">
        <f t="shared" si="1"/>
      </c>
      <c r="T13" s="6">
        <f t="shared" si="5"/>
      </c>
      <c r="X13" s="6">
        <f t="shared" si="2"/>
      </c>
      <c r="AB13" s="6">
        <f t="shared" si="3"/>
      </c>
      <c r="AC13" s="6">
        <f t="shared" si="6"/>
      </c>
    </row>
    <row r="14" spans="2:29" x14ac:dyDescent="0.25">
      <c r="B14">
        <v>1</v>
      </c>
      <c r="C14" t="s">
        <v>65</v>
      </c>
      <c r="D14">
        <v>17</v>
      </c>
      <c r="H14" s="6">
        <f t="shared" si="4"/>
      </c>
      <c r="L14" s="6">
        <f t="shared" si="0"/>
      </c>
      <c r="M14" s="5"/>
      <c r="O14" s="5"/>
      <c r="P14" s="6">
        <f t="shared" si="1"/>
      </c>
      <c r="T14" s="6">
        <f t="shared" si="5"/>
      </c>
      <c r="X14" s="6">
        <f t="shared" si="2"/>
      </c>
      <c r="AB14" s="6">
        <f t="shared" si="3"/>
      </c>
      <c r="AC14" s="6">
        <f t="shared" si="6"/>
      </c>
    </row>
    <row r="15" spans="2:29" x14ac:dyDescent="0.25">
      <c r="B15">
        <v>1</v>
      </c>
      <c r="C15" t="s">
        <v>66</v>
      </c>
      <c r="D15">
        <v>15</v>
      </c>
      <c r="H15" s="6">
        <f t="shared" si="4"/>
      </c>
      <c r="L15" s="6">
        <f t="shared" si="0"/>
      </c>
      <c r="M15" s="5"/>
      <c r="O15" s="5"/>
      <c r="P15" s="6">
        <f t="shared" si="1"/>
      </c>
      <c r="T15" s="6">
        <f t="shared" si="5"/>
      </c>
      <c r="X15" s="6">
        <f t="shared" si="2"/>
      </c>
      <c r="AB15" s="6">
        <f t="shared" si="3"/>
      </c>
      <c r="AC15" s="6">
        <f t="shared" si="6"/>
      </c>
    </row>
    <row r="16" spans="2:29" x14ac:dyDescent="0.25">
      <c r="B16">
        <v>1</v>
      </c>
      <c r="C16" t="s">
        <v>67</v>
      </c>
      <c r="D16">
        <v>15</v>
      </c>
      <c r="H16" s="6">
        <f t="shared" si="4"/>
      </c>
      <c r="L16" s="6">
        <f t="shared" si="0"/>
      </c>
      <c r="M16" s="5"/>
      <c r="O16" s="5"/>
      <c r="P16" s="6">
        <f t="shared" si="1"/>
      </c>
      <c r="T16" s="6">
        <f t="shared" si="5"/>
      </c>
      <c r="X16" s="6">
        <f t="shared" si="2"/>
      </c>
      <c r="AB16" s="6">
        <f t="shared" si="3"/>
      </c>
      <c r="AC16" s="6">
        <f t="shared" si="6"/>
      </c>
    </row>
    <row r="17" spans="2:29" x14ac:dyDescent="0.25">
      <c r="B17">
        <v>2</v>
      </c>
      <c r="C17" t="s">
        <v>68</v>
      </c>
      <c r="D17">
        <v>18</v>
      </c>
      <c r="H17" s="6">
        <f t="shared" si="4"/>
      </c>
      <c r="L17" s="6">
        <f t="shared" si="0"/>
      </c>
      <c r="M17" s="5"/>
      <c r="O17" s="5"/>
      <c r="P17" s="6">
        <f t="shared" si="1"/>
      </c>
      <c r="T17" s="6">
        <f t="shared" si="5"/>
      </c>
      <c r="X17" s="6">
        <f t="shared" si="2"/>
      </c>
      <c r="AB17" s="6">
        <f t="shared" si="3"/>
      </c>
      <c r="AC17" s="6">
        <f t="shared" si="6"/>
      </c>
    </row>
    <row r="18" spans="2:29" x14ac:dyDescent="0.25">
      <c r="B18">
        <v>2</v>
      </c>
      <c r="C18" t="s">
        <v>69</v>
      </c>
      <c r="D18">
        <v>20</v>
      </c>
      <c r="H18" s="6">
        <f t="shared" si="4"/>
      </c>
      <c r="L18" s="6">
        <f t="shared" si="0"/>
      </c>
      <c r="M18" s="5"/>
      <c r="O18" s="5"/>
      <c r="P18" s="6">
        <f t="shared" si="1"/>
      </c>
      <c r="T18" s="6">
        <f t="shared" si="5"/>
      </c>
      <c r="X18" s="6">
        <f t="shared" si="2"/>
      </c>
      <c r="AB18" s="6">
        <f t="shared" si="3"/>
      </c>
      <c r="AC18" s="6">
        <f t="shared" si="6"/>
      </c>
    </row>
    <row r="19" spans="2:29" x14ac:dyDescent="0.25">
      <c r="B19">
        <v>2</v>
      </c>
      <c r="C19" t="s">
        <v>70</v>
      </c>
      <c r="D19">
        <v>16</v>
      </c>
      <c r="H19" s="6">
        <f t="shared" si="4"/>
      </c>
      <c r="L19" s="6">
        <f t="shared" si="0"/>
      </c>
      <c r="M19" s="5"/>
      <c r="O19" s="5"/>
      <c r="P19" s="6">
        <f t="shared" si="1"/>
      </c>
      <c r="T19" s="6">
        <f t="shared" si="5"/>
      </c>
      <c r="X19" s="6">
        <f t="shared" si="2"/>
      </c>
      <c r="AB19" s="6">
        <f t="shared" si="3"/>
      </c>
      <c r="AC19" s="6">
        <f t="shared" si="6"/>
      </c>
    </row>
    <row r="20" spans="2:29" x14ac:dyDescent="0.25">
      <c r="B20">
        <v>2</v>
      </c>
      <c r="C20" t="s">
        <v>71</v>
      </c>
      <c r="D20">
        <v>16</v>
      </c>
      <c r="H20" s="6">
        <f t="shared" si="4"/>
      </c>
      <c r="L20" s="6">
        <f t="shared" si="0"/>
      </c>
      <c r="M20" s="5"/>
      <c r="O20" s="5"/>
      <c r="P20" s="6">
        <f t="shared" si="1"/>
      </c>
      <c r="T20" s="6">
        <f t="shared" si="5"/>
      </c>
      <c r="X20" s="6">
        <f t="shared" si="2"/>
      </c>
      <c r="AB20" s="6">
        <f t="shared" si="3"/>
      </c>
      <c r="AC20" s="6">
        <f t="shared" si="6"/>
      </c>
    </row>
    <row r="21" spans="2:29" x14ac:dyDescent="0.25">
      <c r="B21">
        <v>2</v>
      </c>
      <c r="C21" t="s">
        <v>72</v>
      </c>
      <c r="D21">
        <v>20</v>
      </c>
      <c r="H21" s="6">
        <f t="shared" si="4"/>
      </c>
      <c r="L21" s="6">
        <f t="shared" si="0"/>
      </c>
      <c r="M21" s="5"/>
      <c r="O21" s="5"/>
      <c r="P21" s="6">
        <f t="shared" si="1"/>
      </c>
      <c r="T21" s="6">
        <f t="shared" si="5"/>
      </c>
      <c r="X21" s="6">
        <f t="shared" si="2"/>
      </c>
      <c r="AB21" s="6">
        <f t="shared" si="3"/>
      </c>
      <c r="AC21" s="6">
        <f t="shared" si="6"/>
      </c>
    </row>
    <row r="22" spans="2:29" x14ac:dyDescent="0.25">
      <c r="B22">
        <v>2</v>
      </c>
      <c r="C22" t="s">
        <v>73</v>
      </c>
      <c r="D22">
        <v>18</v>
      </c>
      <c r="H22" s="6">
        <f t="shared" si="4"/>
      </c>
      <c r="L22" s="6">
        <f t="shared" si="0"/>
      </c>
      <c r="M22" s="5"/>
      <c r="O22" s="5"/>
      <c r="P22" s="6">
        <f t="shared" si="1"/>
      </c>
      <c r="T22" s="6">
        <f t="shared" si="5"/>
      </c>
      <c r="X22" s="6">
        <f t="shared" si="2"/>
      </c>
      <c r="AB22" s="6">
        <f t="shared" si="3"/>
      </c>
      <c r="AC22" s="6">
        <f t="shared" si="6"/>
      </c>
    </row>
    <row r="23" spans="2:29" x14ac:dyDescent="0.25">
      <c r="B23">
        <v>2</v>
      </c>
      <c r="C23" t="s">
        <v>74</v>
      </c>
      <c r="D23">
        <v>27</v>
      </c>
      <c r="H23" s="6">
        <f t="shared" si="4"/>
      </c>
      <c r="L23" s="6">
        <f t="shared" si="0"/>
      </c>
      <c r="M23" s="5"/>
      <c r="O23" s="5"/>
      <c r="P23" s="6">
        <f t="shared" si="1"/>
      </c>
      <c r="T23" s="6">
        <f t="shared" si="5"/>
      </c>
      <c r="X23" s="6">
        <f t="shared" si="2"/>
      </c>
      <c r="AB23" s="6">
        <f t="shared" si="3"/>
      </c>
      <c r="AC23" s="6">
        <f t="shared" si="6"/>
      </c>
    </row>
    <row r="24" spans="2:29" x14ac:dyDescent="0.25">
      <c r="B24">
        <v>2</v>
      </c>
      <c r="C24" t="s">
        <v>75</v>
      </c>
      <c r="D24">
        <v>26</v>
      </c>
      <c r="H24" s="6">
        <f t="shared" si="4"/>
      </c>
      <c r="L24" s="6">
        <f t="shared" si="0"/>
      </c>
      <c r="M24" s="5"/>
      <c r="O24" s="5"/>
      <c r="P24" s="6">
        <f t="shared" si="1"/>
      </c>
      <c r="T24" s="6">
        <f t="shared" si="5"/>
      </c>
      <c r="X24" s="6">
        <f t="shared" si="2"/>
      </c>
      <c r="AB24" s="6">
        <f t="shared" si="3"/>
      </c>
      <c r="AC24" s="6">
        <f t="shared" si="6"/>
      </c>
    </row>
    <row r="25" spans="2:29" x14ac:dyDescent="0.25">
      <c r="B25">
        <v>2</v>
      </c>
      <c r="C25" t="s">
        <v>76</v>
      </c>
      <c r="D25">
        <v>26</v>
      </c>
      <c r="H25" s="6">
        <f t="shared" si="4"/>
      </c>
      <c r="L25" s="6">
        <f t="shared" si="0"/>
      </c>
      <c r="M25" s="5"/>
      <c r="O25" s="5"/>
      <c r="P25" s="6">
        <f t="shared" si="1"/>
      </c>
      <c r="T25" s="6">
        <f t="shared" si="5"/>
      </c>
      <c r="X25" s="6">
        <f t="shared" si="2"/>
      </c>
      <c r="AB25" s="6">
        <f t="shared" si="3"/>
      </c>
      <c r="AC25" s="6">
        <f t="shared" si="6"/>
      </c>
    </row>
    <row r="26" spans="2:29" x14ac:dyDescent="0.25">
      <c r="B26">
        <v>2</v>
      </c>
      <c r="C26" t="s">
        <v>77</v>
      </c>
      <c r="D26">
        <v>27</v>
      </c>
      <c r="H26" s="6">
        <f t="shared" si="4"/>
      </c>
      <c r="L26" s="6">
        <f t="shared" si="0"/>
      </c>
      <c r="M26" s="5"/>
      <c r="O26" s="5"/>
      <c r="P26" s="6">
        <f t="shared" si="1"/>
      </c>
      <c r="T26" s="6">
        <f t="shared" si="5"/>
      </c>
      <c r="X26" s="6">
        <f t="shared" si="2"/>
      </c>
      <c r="AB26" s="6">
        <f t="shared" si="3"/>
      </c>
      <c r="AC26" s="6">
        <f t="shared" si="6"/>
      </c>
    </row>
    <row r="27" spans="2:29" x14ac:dyDescent="0.25">
      <c r="B27">
        <v>2</v>
      </c>
      <c r="C27" t="s">
        <v>78</v>
      </c>
      <c r="D27">
        <v>28</v>
      </c>
      <c r="H27" s="6">
        <f t="shared" si="4"/>
      </c>
      <c r="L27" s="6">
        <f t="shared" si="0"/>
      </c>
      <c r="M27" s="5"/>
      <c r="O27" s="5"/>
      <c r="P27" s="6">
        <f t="shared" si="1"/>
      </c>
      <c r="T27" s="6">
        <f t="shared" si="5"/>
      </c>
      <c r="X27" s="6">
        <f t="shared" si="2"/>
      </c>
      <c r="AB27" s="6">
        <f t="shared" si="3"/>
      </c>
      <c r="AC27" s="6">
        <f t="shared" si="6"/>
      </c>
    </row>
    <row r="28" spans="2:29" x14ac:dyDescent="0.25">
      <c r="B28">
        <v>2</v>
      </c>
      <c r="C28" t="s">
        <v>79</v>
      </c>
      <c r="D28">
        <v>29</v>
      </c>
      <c r="H28" s="6">
        <f t="shared" si="4"/>
      </c>
      <c r="L28" s="6">
        <f t="shared" si="0"/>
      </c>
      <c r="M28" s="5"/>
      <c r="O28" s="5"/>
      <c r="P28" s="6">
        <f t="shared" si="1"/>
      </c>
      <c r="T28" s="6">
        <f t="shared" si="5"/>
      </c>
      <c r="X28" s="6">
        <f t="shared" si="2"/>
      </c>
      <c r="AB28" s="6">
        <f t="shared" si="3"/>
      </c>
      <c r="AC28" s="6">
        <f t="shared" si="6"/>
      </c>
    </row>
    <row r="29" spans="2:29" x14ac:dyDescent="0.25">
      <c r="B29">
        <v>2</v>
      </c>
      <c r="C29" t="s">
        <v>80</v>
      </c>
      <c r="D29">
        <v>28</v>
      </c>
      <c r="H29" s="6">
        <f t="shared" si="4"/>
      </c>
      <c r="L29" s="6">
        <f t="shared" si="0"/>
      </c>
      <c r="M29" s="5"/>
      <c r="O29" s="5"/>
      <c r="P29" s="6">
        <f t="shared" si="1"/>
      </c>
      <c r="T29" s="6">
        <f t="shared" si="5"/>
      </c>
      <c r="X29" s="6">
        <f t="shared" si="2"/>
      </c>
      <c r="AB29" s="6">
        <f t="shared" si="3"/>
      </c>
      <c r="AC29" s="6">
        <f t="shared" si="6"/>
      </c>
    </row>
    <row r="30" spans="2:29" x14ac:dyDescent="0.25">
      <c r="B30">
        <v>2</v>
      </c>
      <c r="C30" t="s">
        <v>81</v>
      </c>
      <c r="D30">
        <v>30</v>
      </c>
      <c r="H30" s="6">
        <f>IFERROR(AVERAGE(E30:G30)/D30,"")</f>
      </c>
      <c r="L30" s="6">
        <f t="shared" si="0"/>
      </c>
      <c r="M30" s="5"/>
      <c r="O30" s="5"/>
      <c r="P30" s="6">
        <f t="shared" si="1"/>
      </c>
      <c r="T30" s="6">
        <f t="shared" si="5"/>
      </c>
      <c r="X30" s="6">
        <f t="shared" si="2"/>
      </c>
      <c r="AB30" s="6">
        <f t="shared" si="3"/>
      </c>
      <c r="AC30" s="6">
        <f t="shared" si="6"/>
      </c>
    </row>
    <row r="31" spans="2:29" x14ac:dyDescent="0.25">
      <c r="B31">
        <v>3</v>
      </c>
      <c r="C31" t="s">
        <v>82</v>
      </c>
      <c r="D31">
        <v>18</v>
      </c>
      <c r="H31" s="6">
        <f t="shared" ref="H31:H73" si="7">IFERROR(AVERAGE(E31:G31)/D31,"")</f>
      </c>
      <c r="L31" s="6">
        <f>IFERROR(AVERAGE(I31:K31)/D31,"")</f>
      </c>
      <c r="O31" s="5"/>
      <c r="P31" s="6">
        <f>IFERROR(AVERAGE(M31:O31)/D31,"")</f>
      </c>
      <c r="T31" s="6">
        <f t="shared" si="5"/>
      </c>
      <c r="X31" s="6">
        <f t="shared" si="2"/>
      </c>
      <c r="AB31" s="6">
        <f>IFERROR(AVERAGE(AA31:AA31)/D31,"")</f>
      </c>
      <c r="AC31" s="6">
        <f t="shared" si="6"/>
      </c>
    </row>
    <row r="32" spans="2:29" x14ac:dyDescent="0.25">
      <c r="B32">
        <v>3</v>
      </c>
      <c r="C32" t="s">
        <v>83</v>
      </c>
      <c r="D32">
        <v>16</v>
      </c>
      <c r="H32" s="6">
        <f t="shared" si="7"/>
      </c>
      <c r="L32" s="6">
        <f>IFERROR(AVERAGE(I32:K32)/D32,"")</f>
      </c>
      <c r="O32" s="5"/>
      <c r="P32" s="6">
        <f>IFERROR(AVERAGE(M32:O32)/D32,"")</f>
      </c>
      <c r="T32" s="6">
        <f t="shared" si="5"/>
      </c>
      <c r="X32" s="6">
        <f t="shared" si="2"/>
      </c>
      <c r="AB32" s="6">
        <f>IFERROR(AVERAGE(AA32:AA32)/D32,"")</f>
      </c>
      <c r="AC32" s="6">
        <f t="shared" si="6"/>
      </c>
    </row>
    <row r="33" spans="2:29" x14ac:dyDescent="0.25">
      <c r="B33">
        <v>3</v>
      </c>
      <c r="C33" t="s">
        <v>84</v>
      </c>
      <c r="D33">
        <v>16</v>
      </c>
      <c r="H33" s="6">
        <f t="shared" si="7"/>
      </c>
      <c r="L33" s="6">
        <f>IFERROR(AVERAGE(I33:K33)/D33,"")</f>
      </c>
      <c r="O33" s="5"/>
      <c r="P33" s="6">
        <f>IFERROR(AVERAGE(M33:O33)/D33,"")</f>
      </c>
      <c r="T33" s="6">
        <f t="shared" si="5"/>
      </c>
      <c r="X33" s="6">
        <f t="shared" si="2"/>
      </c>
      <c r="AB33" s="6">
        <f>IFERROR(AVERAGE(AA33:AA33)/D33,"")</f>
      </c>
      <c r="AC33" s="6">
        <f t="shared" si="6"/>
      </c>
    </row>
    <row r="34" spans="2:29" x14ac:dyDescent="0.25">
      <c r="B34">
        <v>3</v>
      </c>
      <c r="C34" t="s">
        <v>85</v>
      </c>
      <c r="D34">
        <v>17</v>
      </c>
      <c r="H34" s="6">
        <f t="shared" si="7"/>
      </c>
      <c r="L34" s="6">
        <f>IFERROR(AVERAGE(I34:K34)/D34,"")</f>
      </c>
      <c r="O34" s="5"/>
      <c r="P34" s="6">
        <f>IFERROR(AVERAGE(M34:O34)/D34,"")</f>
      </c>
      <c r="T34" s="6">
        <f t="shared" si="5"/>
      </c>
      <c r="X34" s="6">
        <f t="shared" si="2"/>
      </c>
      <c r="AB34" s="6">
        <f>IFERROR(AVERAGE(AA34:AA34)/D34,"")</f>
      </c>
      <c r="AC34" s="6">
        <f t="shared" si="6"/>
      </c>
    </row>
    <row r="35" spans="2:29" x14ac:dyDescent="0.25">
      <c r="B35">
        <v>3</v>
      </c>
      <c r="C35" t="s">
        <v>86</v>
      </c>
      <c r="D35">
        <v>16</v>
      </c>
      <c r="H35" s="6">
        <f t="shared" si="7"/>
      </c>
      <c r="L35" s="6">
        <f>IFERROR(AVERAGE(I35:K35)/D35,"")</f>
      </c>
      <c r="O35" s="5"/>
      <c r="P35" s="6">
        <f>IFERROR(AVERAGE(M35:O35)/D35,"")</f>
      </c>
      <c r="T35" s="6">
        <f t="shared" si="5"/>
      </c>
      <c r="X35" s="6">
        <f t="shared" si="2"/>
      </c>
      <c r="AB35" s="6">
        <f>IFERROR(AVERAGE(AA35:AA35)/D35,"")</f>
      </c>
      <c r="AC35" s="6">
        <f t="shared" si="6"/>
      </c>
    </row>
    <row r="36" spans="2:29" x14ac:dyDescent="0.25">
      <c r="B36">
        <v>3</v>
      </c>
      <c r="C36" t="s">
        <v>87</v>
      </c>
      <c r="D36">
        <v>15</v>
      </c>
      <c r="H36" s="6">
        <f t="shared" si="7"/>
      </c>
      <c r="L36" s="6">
        <f>IFERROR(AVERAGE(I36:K36)/D36,"")</f>
      </c>
      <c r="O36" s="5"/>
      <c r="P36" s="6">
        <f>IFERROR(AVERAGE(M36:O36)/D36,"")</f>
      </c>
      <c r="T36" s="6">
        <f t="shared" ref="T36:T67" si="8">IFERROR(AVERAGE(Q36:S36)/D36,"")</f>
      </c>
      <c r="X36" s="6">
        <f t="shared" ref="X36:X67" si="9">IFERROR(AVERAGE(U36:W36)/D36,"")</f>
      </c>
      <c r="AB36" s="6">
        <f>IFERROR(AVERAGE(AA36:AA36)/D36,"")</f>
      </c>
      <c r="AC36" s="6">
        <f t="shared" ref="AC36:AC67" si="10">IFERROR(AVERAGE(H36,L36,P36,T36,X36,AB36),"")</f>
      </c>
    </row>
    <row r="37" spans="2:29" x14ac:dyDescent="0.25">
      <c r="B37">
        <v>3</v>
      </c>
      <c r="C37" t="s">
        <v>88</v>
      </c>
      <c r="D37">
        <v>18</v>
      </c>
      <c r="H37" s="6">
        <f t="shared" si="7"/>
      </c>
      <c r="L37" s="6">
        <f>IFERROR(AVERAGE(I37:K37)/D37,"")</f>
      </c>
      <c r="O37" s="5"/>
      <c r="P37" s="6">
        <f>IFERROR(AVERAGE(M37:O37)/D37,"")</f>
      </c>
      <c r="T37" s="6">
        <f t="shared" si="8"/>
      </c>
      <c r="X37" s="6">
        <f t="shared" si="9"/>
      </c>
      <c r="AB37" s="6">
        <f>IFERROR(AVERAGE(AA37:AA37)/D37,"")</f>
      </c>
      <c r="AC37" s="6">
        <f t="shared" si="10"/>
      </c>
    </row>
    <row r="38" spans="2:29" x14ac:dyDescent="0.25">
      <c r="B38">
        <v>3</v>
      </c>
      <c r="C38" t="s">
        <v>89</v>
      </c>
      <c r="D38">
        <v>13</v>
      </c>
      <c r="H38" s="6">
        <f t="shared" si="7"/>
      </c>
      <c r="L38" s="6">
        <f>IFERROR(AVERAGE(I38:K38)/D38,"")</f>
      </c>
      <c r="O38" s="5"/>
      <c r="P38" s="6">
        <f>IFERROR(AVERAGE(M38:O38)/D38,"")</f>
      </c>
      <c r="T38" s="6">
        <f t="shared" si="8"/>
      </c>
      <c r="X38" s="6">
        <f t="shared" si="9"/>
      </c>
      <c r="AB38" s="6">
        <f>IFERROR(AVERAGE(AA38:AA38)/D38,"")</f>
      </c>
      <c r="AC38" s="6">
        <f t="shared" si="10"/>
      </c>
    </row>
    <row r="39" spans="2:29" x14ac:dyDescent="0.25">
      <c r="B39">
        <v>3</v>
      </c>
      <c r="C39" t="s">
        <v>90</v>
      </c>
      <c r="D39">
        <v>15</v>
      </c>
      <c r="H39" s="6">
        <f t="shared" si="7"/>
      </c>
      <c r="L39" s="6">
        <f>IFERROR(AVERAGE(I39:K39)/D39,"")</f>
      </c>
      <c r="O39" s="5"/>
      <c r="P39" s="6">
        <f>IFERROR(AVERAGE(M39:O39)/D39,"")</f>
      </c>
      <c r="T39" s="6">
        <f t="shared" si="8"/>
      </c>
      <c r="X39" s="6">
        <f t="shared" si="9"/>
      </c>
      <c r="AB39" s="6">
        <f>IFERROR(AVERAGE(AA39:AA39)/D39,"")</f>
      </c>
      <c r="AC39" s="6">
        <f t="shared" si="10"/>
      </c>
    </row>
    <row r="40" spans="2:29" x14ac:dyDescent="0.25">
      <c r="B40">
        <v>3</v>
      </c>
      <c r="C40" t="s">
        <v>91</v>
      </c>
      <c r="D40">
        <v>15</v>
      </c>
      <c r="H40" s="6">
        <f t="shared" si="7"/>
      </c>
      <c r="L40" s="6">
        <f>IFERROR(AVERAGE(I40:K40)/D40,"")</f>
      </c>
      <c r="O40" s="5"/>
      <c r="P40" s="6">
        <f>IFERROR(AVERAGE(M40:O40)/D40,"")</f>
      </c>
      <c r="T40" s="6">
        <f t="shared" si="8"/>
      </c>
      <c r="X40" s="6">
        <f t="shared" si="9"/>
      </c>
      <c r="AB40" s="6">
        <f>IFERROR(AVERAGE(AA40:AA40)/D40,"")</f>
      </c>
      <c r="AC40" s="6">
        <f t="shared" si="10"/>
      </c>
    </row>
    <row r="41" spans="2:29" x14ac:dyDescent="0.25">
      <c r="B41">
        <v>3</v>
      </c>
      <c r="C41" t="s">
        <v>92</v>
      </c>
      <c r="D41">
        <v>16</v>
      </c>
      <c r="H41" s="6">
        <f t="shared" si="7"/>
      </c>
      <c r="L41" s="6">
        <f>IFERROR(AVERAGE(I41:K41)/D41,"")</f>
      </c>
      <c r="O41" s="5"/>
      <c r="P41" s="6">
        <f>IFERROR(AVERAGE(M41:O41)/D41,"")</f>
      </c>
      <c r="T41" s="6">
        <f t="shared" si="8"/>
      </c>
      <c r="X41" s="6">
        <f t="shared" si="9"/>
      </c>
      <c r="AB41" s="6">
        <f>IFERROR(AVERAGE(AA41:AA41)/D41,"")</f>
      </c>
      <c r="AC41" s="6">
        <f t="shared" si="10"/>
      </c>
    </row>
    <row r="42" spans="2:29" x14ac:dyDescent="0.25">
      <c r="B42">
        <v>3</v>
      </c>
      <c r="C42" t="s">
        <v>93</v>
      </c>
      <c r="D42">
        <v>12</v>
      </c>
      <c r="H42" s="6">
        <f t="shared" si="7"/>
      </c>
      <c r="L42" s="6">
        <f>IFERROR(AVERAGE(I42:K42)/D42,"")</f>
      </c>
      <c r="O42" s="5"/>
      <c r="P42" s="6">
        <f>IFERROR(AVERAGE(M42:O42)/D42,"")</f>
      </c>
      <c r="T42" s="6">
        <f t="shared" si="8"/>
      </c>
      <c r="X42" s="6">
        <f t="shared" si="9"/>
      </c>
      <c r="AB42" s="6">
        <f>IFERROR(AVERAGE(AA42:AA42)/D42,"")</f>
      </c>
      <c r="AC42" s="6">
        <f t="shared" si="10"/>
      </c>
    </row>
    <row r="43" spans="2:29" x14ac:dyDescent="0.25">
      <c r="B43">
        <v>3</v>
      </c>
      <c r="C43" t="s">
        <v>94</v>
      </c>
      <c r="D43">
        <v>13</v>
      </c>
      <c r="H43" s="6">
        <f t="shared" si="7"/>
      </c>
      <c r="L43" s="6">
        <f>IFERROR(AVERAGE(I43:K43)/D43,"")</f>
      </c>
      <c r="O43" s="5"/>
      <c r="P43" s="6">
        <f>IFERROR(AVERAGE(M43:O43)/D43,"")</f>
      </c>
      <c r="T43" s="6">
        <f t="shared" si="8"/>
      </c>
      <c r="X43" s="6">
        <f t="shared" si="9"/>
      </c>
      <c r="AB43" s="6">
        <f>IFERROR(AVERAGE(AA43:AA43)/D43,"")</f>
      </c>
      <c r="AC43" s="6">
        <f t="shared" si="10"/>
      </c>
    </row>
    <row r="44" spans="2:29" x14ac:dyDescent="0.25">
      <c r="B44">
        <v>3</v>
      </c>
      <c r="C44" t="s">
        <v>95</v>
      </c>
      <c r="D44">
        <v>16</v>
      </c>
      <c r="H44" s="6">
        <f t="shared" si="7"/>
      </c>
      <c r="L44" s="6">
        <f>IFERROR(AVERAGE(I44:K44)/D44,"")</f>
      </c>
      <c r="O44" s="5"/>
      <c r="P44" s="6">
        <f>IFERROR(AVERAGE(M44:O44)/D44,"")</f>
      </c>
      <c r="T44" s="6">
        <f t="shared" si="8"/>
      </c>
      <c r="X44" s="6">
        <f t="shared" si="9"/>
      </c>
      <c r="AB44" s="6">
        <f>IFERROR(AVERAGE(AA44:AA44)/D44,"")</f>
      </c>
      <c r="AC44" s="6">
        <f t="shared" si="10"/>
      </c>
    </row>
    <row r="45" spans="2:29" x14ac:dyDescent="0.25">
      <c r="B45">
        <v>3</v>
      </c>
      <c r="C45" t="s">
        <v>96</v>
      </c>
      <c r="D45">
        <v>32</v>
      </c>
      <c r="H45" s="6">
        <f t="shared" si="7"/>
      </c>
      <c r="L45" s="6">
        <f>IFERROR(AVERAGE(I45:K45)/D45,"")</f>
      </c>
      <c r="O45" s="5"/>
      <c r="P45" s="6">
        <f>IFERROR(AVERAGE(M45:O45)/D45,"")</f>
      </c>
      <c r="T45" s="6">
        <f t="shared" si="8"/>
      </c>
      <c r="X45" s="6">
        <f t="shared" si="9"/>
      </c>
      <c r="AB45" s="6">
        <f>IFERROR(AVERAGE(AA45:AA45)/D45,"")</f>
      </c>
      <c r="AC45" s="6">
        <f t="shared" si="10"/>
      </c>
    </row>
    <row r="46" spans="2:29" x14ac:dyDescent="0.25">
      <c r="B46">
        <v>3</v>
      </c>
      <c r="C46" t="s">
        <v>97</v>
      </c>
      <c r="D46">
        <v>30</v>
      </c>
      <c r="H46" s="6">
        <f t="shared" si="7"/>
      </c>
      <c r="L46" s="6">
        <f>IFERROR(AVERAGE(I46:K46)/D46,"")</f>
      </c>
      <c r="O46" s="5"/>
      <c r="P46" s="6">
        <f>IFERROR(AVERAGE(M46:O46)/D46,"")</f>
      </c>
      <c r="T46" s="6">
        <f t="shared" si="8"/>
      </c>
      <c r="X46" s="6">
        <f t="shared" si="9"/>
      </c>
      <c r="AB46" s="6">
        <f>IFERROR(AVERAGE(AA46:AA46)/D46,"")</f>
      </c>
      <c r="AC46" s="6">
        <f t="shared" si="10"/>
      </c>
    </row>
    <row r="47" spans="2:29" x14ac:dyDescent="0.25">
      <c r="B47">
        <v>3</v>
      </c>
      <c r="C47" t="s">
        <v>98</v>
      </c>
      <c r="D47">
        <v>31</v>
      </c>
      <c r="H47" s="6">
        <f t="shared" si="7"/>
      </c>
      <c r="L47" s="6">
        <f>IFERROR(AVERAGE(I47:K47)/D47,"")</f>
      </c>
      <c r="O47" s="5"/>
      <c r="P47" s="6">
        <f>IFERROR(AVERAGE(M47:O47)/D47,"")</f>
      </c>
      <c r="T47" s="6">
        <f t="shared" si="8"/>
      </c>
      <c r="X47" s="6">
        <f t="shared" si="9"/>
      </c>
      <c r="AB47" s="6">
        <f>IFERROR(AVERAGE(AA47:AA47)/D47,"")</f>
      </c>
      <c r="AC47" s="6">
        <f t="shared" si="10"/>
      </c>
    </row>
    <row r="48" spans="2:29" x14ac:dyDescent="0.25">
      <c r="B48">
        <v>3</v>
      </c>
      <c r="C48" t="s">
        <v>99</v>
      </c>
      <c r="D48">
        <v>30</v>
      </c>
      <c r="H48" s="6">
        <f t="shared" si="7"/>
      </c>
      <c r="L48" s="6">
        <f>IFERROR(AVERAGE(I48:K48)/D48,"")</f>
      </c>
      <c r="O48" s="5"/>
      <c r="P48" s="6">
        <f>IFERROR(AVERAGE(M48:O48)/D48,"")</f>
      </c>
      <c r="T48" s="6">
        <f t="shared" si="8"/>
      </c>
      <c r="X48" s="6">
        <f t="shared" si="9"/>
      </c>
      <c r="AB48" s="6">
        <f>IFERROR(AVERAGE(AA48:AA48)/D48,"")</f>
      </c>
      <c r="AC48" s="6">
        <f t="shared" si="10"/>
      </c>
    </row>
    <row r="49" spans="2:29" x14ac:dyDescent="0.25">
      <c r="B49">
        <v>3</v>
      </c>
      <c r="C49" t="s">
        <v>100</v>
      </c>
      <c r="D49">
        <v>31</v>
      </c>
      <c r="H49" s="6">
        <f t="shared" si="7"/>
      </c>
      <c r="L49" s="6">
        <f>IFERROR(AVERAGE(I49:K49)/D49,"")</f>
      </c>
      <c r="O49" s="5"/>
      <c r="P49" s="6">
        <f>IFERROR(AVERAGE(M49:O49)/D49,"")</f>
      </c>
      <c r="T49" s="6">
        <f t="shared" si="8"/>
      </c>
      <c r="X49" s="6">
        <f t="shared" si="9"/>
      </c>
      <c r="AB49" s="6">
        <f>IFERROR(AVERAGE(AA49:AA49)/D49,"")</f>
      </c>
      <c r="AC49" s="6">
        <f t="shared" si="10"/>
      </c>
    </row>
    <row r="50" spans="2:29" x14ac:dyDescent="0.25">
      <c r="B50">
        <v>3</v>
      </c>
      <c r="C50" t="s">
        <v>101</v>
      </c>
      <c r="D50">
        <v>34</v>
      </c>
      <c r="H50" s="6">
        <f t="shared" si="7"/>
      </c>
      <c r="L50" s="6">
        <f>IFERROR(AVERAGE(I50:K50)/D50,"")</f>
      </c>
      <c r="O50" s="5"/>
      <c r="P50" s="6">
        <f>IFERROR(AVERAGE(M50:O50)/D50,"")</f>
      </c>
      <c r="T50" s="6">
        <f t="shared" si="8"/>
      </c>
      <c r="X50" s="6">
        <f t="shared" si="9"/>
      </c>
      <c r="AB50" s="6">
        <f>IFERROR(AVERAGE(AA50:AA50)/D50,"")</f>
      </c>
      <c r="AC50" s="6">
        <f t="shared" si="10"/>
      </c>
    </row>
    <row r="51" spans="2:29" x14ac:dyDescent="0.25">
      <c r="B51">
        <v>4</v>
      </c>
      <c r="C51" t="s">
        <v>102</v>
      </c>
      <c r="D51">
        <v>15</v>
      </c>
      <c r="H51" s="6">
        <f t="shared" si="7"/>
      </c>
      <c r="L51" s="6">
        <f>IFERROR(AVERAGE(I51:K51)/D51,"")</f>
      </c>
      <c r="O51" s="5"/>
      <c r="P51" s="6">
        <f>IFERROR(AVERAGE(M51:O51)/D51,"")</f>
      </c>
      <c r="T51" s="6">
        <f t="shared" si="8"/>
      </c>
      <c r="X51" s="6">
        <f t="shared" si="9"/>
      </c>
      <c r="AB51" s="6">
        <f>IFERROR(AVERAGE(AA51:AA51)/D51,"")</f>
      </c>
      <c r="AC51" s="6">
        <f t="shared" si="10"/>
      </c>
    </row>
    <row r="52" spans="2:29" x14ac:dyDescent="0.25">
      <c r="B52">
        <v>4</v>
      </c>
      <c r="C52" t="s">
        <v>103</v>
      </c>
      <c r="D52">
        <v>16</v>
      </c>
      <c r="H52" s="6">
        <f t="shared" si="7"/>
      </c>
      <c r="L52" s="6">
        <f>IFERROR(AVERAGE(I52:K52)/D52,"")</f>
      </c>
      <c r="O52" s="5"/>
      <c r="P52" s="6">
        <f>IFERROR(AVERAGE(M52:O52)/D52,"")</f>
      </c>
      <c r="T52" s="6">
        <f t="shared" si="8"/>
      </c>
      <c r="X52" s="6">
        <f t="shared" si="9"/>
      </c>
      <c r="AB52" s="6">
        <f>IFERROR(AVERAGE(AA52:AA52)/D52,"")</f>
      </c>
      <c r="AC52" s="6">
        <f t="shared" si="10"/>
      </c>
    </row>
    <row r="53" spans="2:29" x14ac:dyDescent="0.25">
      <c r="B53">
        <v>4</v>
      </c>
      <c r="C53" t="s">
        <v>104</v>
      </c>
      <c r="D53">
        <v>15</v>
      </c>
      <c r="H53" s="6">
        <f t="shared" si="7"/>
      </c>
      <c r="L53" s="6">
        <f>IFERROR(AVERAGE(I53:K53)/D53,"")</f>
      </c>
      <c r="O53" s="5"/>
      <c r="P53" s="6">
        <f>IFERROR(AVERAGE(M53:O53)/D53,"")</f>
      </c>
      <c r="T53" s="6">
        <f t="shared" si="8"/>
      </c>
      <c r="X53" s="6">
        <f t="shared" si="9"/>
      </c>
      <c r="AB53" s="6">
        <f>IFERROR(AVERAGE(AA53:AA53)/D53,"")</f>
      </c>
      <c r="AC53" s="6">
        <f t="shared" si="10"/>
      </c>
    </row>
    <row r="54" spans="2:29" x14ac:dyDescent="0.25">
      <c r="B54">
        <v>4</v>
      </c>
      <c r="C54" t="s">
        <v>105</v>
      </c>
      <c r="D54">
        <v>16</v>
      </c>
      <c r="H54" s="6">
        <f t="shared" si="7"/>
      </c>
      <c r="L54" s="6">
        <f>IFERROR(AVERAGE(I54:K54)/D54,"")</f>
      </c>
      <c r="O54" s="5"/>
      <c r="P54" s="6">
        <f>IFERROR(AVERAGE(M54:O54)/D54,"")</f>
      </c>
      <c r="T54" s="6">
        <f t="shared" si="8"/>
      </c>
      <c r="X54" s="6">
        <f t="shared" si="9"/>
      </c>
      <c r="AB54" s="6">
        <f>IFERROR(AVERAGE(AA54:AA54)/D54,"")</f>
      </c>
      <c r="AC54" s="6">
        <f t="shared" si="10"/>
      </c>
    </row>
    <row r="55" spans="2:29" x14ac:dyDescent="0.25">
      <c r="B55">
        <v>4</v>
      </c>
      <c r="C55" t="s">
        <v>106</v>
      </c>
      <c r="D55">
        <v>14</v>
      </c>
      <c r="H55" s="6">
        <f t="shared" si="7"/>
      </c>
      <c r="L55" s="6">
        <f>IFERROR(AVERAGE(I55:K55)/D55,"")</f>
      </c>
      <c r="O55" s="5"/>
      <c r="P55" s="6">
        <f>IFERROR(AVERAGE(M55:O55)/D55,"")</f>
      </c>
      <c r="T55" s="6">
        <f t="shared" si="8"/>
      </c>
      <c r="X55" s="6">
        <f t="shared" si="9"/>
      </c>
      <c r="AB55" s="6">
        <f>IFERROR(AVERAGE(AA55:AA55)/D55,"")</f>
      </c>
      <c r="AC55" s="6">
        <f t="shared" si="10"/>
      </c>
    </row>
    <row r="56" spans="2:29" x14ac:dyDescent="0.25">
      <c r="B56">
        <v>4</v>
      </c>
      <c r="C56" t="s">
        <v>107</v>
      </c>
      <c r="D56">
        <v>17</v>
      </c>
      <c r="H56" s="6">
        <f t="shared" si="7"/>
      </c>
      <c r="L56" s="6">
        <f>IFERROR(AVERAGE(I56:K56)/D56,"")</f>
      </c>
      <c r="O56" s="5"/>
      <c r="P56" s="6">
        <f>IFERROR(AVERAGE(M56:O56)/D56,"")</f>
      </c>
      <c r="T56" s="6">
        <f t="shared" si="8"/>
      </c>
      <c r="X56" s="6">
        <f t="shared" si="9"/>
      </c>
      <c r="AB56" s="6">
        <f>IFERROR(AVERAGE(AA56:AA56)/D56,"")</f>
      </c>
      <c r="AC56" s="6">
        <f t="shared" si="10"/>
      </c>
    </row>
    <row r="57" spans="2:29" x14ac:dyDescent="0.25">
      <c r="B57">
        <v>4</v>
      </c>
      <c r="C57" t="s">
        <v>108</v>
      </c>
      <c r="D57">
        <v>14</v>
      </c>
      <c r="H57" s="6">
        <f t="shared" si="7"/>
      </c>
      <c r="L57" s="6">
        <f>IFERROR(AVERAGE(I57:K57)/D57,"")</f>
      </c>
      <c r="O57" s="5"/>
      <c r="P57" s="6">
        <f>IFERROR(AVERAGE(M57:O57)/D57,"")</f>
      </c>
      <c r="T57" s="6">
        <f t="shared" si="8"/>
      </c>
      <c r="X57" s="6">
        <f t="shared" si="9"/>
      </c>
      <c r="AB57" s="6">
        <f>IFERROR(AVERAGE(AA57:AA57)/D57,"")</f>
      </c>
      <c r="AC57" s="6">
        <f t="shared" si="10"/>
      </c>
    </row>
    <row r="58" spans="2:29" x14ac:dyDescent="0.25">
      <c r="B58">
        <v>4</v>
      </c>
      <c r="C58" t="s">
        <v>109</v>
      </c>
      <c r="D58">
        <v>17</v>
      </c>
      <c r="H58" s="6">
        <f t="shared" si="7"/>
      </c>
      <c r="L58" s="6">
        <f>IFERROR(AVERAGE(I58:K58)/D58,"")</f>
      </c>
      <c r="O58" s="5"/>
      <c r="P58" s="6">
        <f>IFERROR(AVERAGE(M58:O58)/D58,"")</f>
      </c>
      <c r="T58" s="6">
        <f t="shared" si="8"/>
      </c>
      <c r="X58" s="6">
        <f t="shared" si="9"/>
      </c>
      <c r="AB58" s="6">
        <f>IFERROR(AVERAGE(AA58:AA58)/D58,"")</f>
      </c>
      <c r="AC58" s="6">
        <f t="shared" si="10"/>
      </c>
    </row>
    <row r="59" spans="2:29" x14ac:dyDescent="0.25">
      <c r="B59">
        <v>4</v>
      </c>
      <c r="C59" t="s">
        <v>110</v>
      </c>
      <c r="D59">
        <v>17</v>
      </c>
      <c r="H59" s="6">
        <f t="shared" si="7"/>
      </c>
      <c r="L59" s="6">
        <f>IFERROR(AVERAGE(I59:K59)/D59,"")</f>
      </c>
      <c r="O59" s="5"/>
      <c r="P59" s="6">
        <f>IFERROR(AVERAGE(M59:O59)/D59,"")</f>
      </c>
      <c r="T59" s="6">
        <f t="shared" si="8"/>
      </c>
      <c r="X59" s="6">
        <f t="shared" si="9"/>
      </c>
      <c r="AB59" s="6">
        <f>IFERROR(AVERAGE(AA59:AA59)/D59,"")</f>
      </c>
      <c r="AC59" s="6">
        <f t="shared" si="10"/>
      </c>
    </row>
    <row r="60" spans="2:29" x14ac:dyDescent="0.25">
      <c r="B60">
        <v>4</v>
      </c>
      <c r="C60" t="s">
        <v>111</v>
      </c>
      <c r="D60">
        <v>15</v>
      </c>
      <c r="H60" s="6">
        <f t="shared" si="7"/>
      </c>
      <c r="L60" s="6">
        <f>IFERROR(AVERAGE(I60:K60)/D60,"")</f>
      </c>
      <c r="O60" s="5"/>
      <c r="P60" s="6">
        <f>IFERROR(AVERAGE(M60:O60)/D60,"")</f>
      </c>
      <c r="T60" s="6">
        <f t="shared" si="8"/>
      </c>
      <c r="X60" s="6">
        <f t="shared" si="9"/>
      </c>
      <c r="AB60" s="6">
        <f>IFERROR(AVERAGE(AA60:AA60)/D60,"")</f>
      </c>
      <c r="AC60" s="6">
        <f t="shared" si="10"/>
      </c>
    </row>
    <row r="61" spans="2:29" x14ac:dyDescent="0.25">
      <c r="B61">
        <v>4</v>
      </c>
      <c r="C61" t="s">
        <v>112</v>
      </c>
      <c r="D61">
        <v>17</v>
      </c>
      <c r="H61" s="6">
        <f t="shared" si="7"/>
      </c>
      <c r="L61" s="6">
        <f>IFERROR(AVERAGE(I61:K61)/D61,"")</f>
      </c>
      <c r="O61" s="5"/>
      <c r="P61" s="6">
        <f>IFERROR(AVERAGE(M61:O61)/D61,"")</f>
      </c>
      <c r="T61" s="6">
        <f t="shared" si="8"/>
      </c>
      <c r="X61" s="6">
        <f t="shared" si="9"/>
      </c>
      <c r="AB61" s="6">
        <f>IFERROR(AVERAGE(AA61:AA61)/D61,"")</f>
      </c>
      <c r="AC61" s="6">
        <f t="shared" si="10"/>
      </c>
    </row>
    <row r="62" spans="2:29" x14ac:dyDescent="0.25">
      <c r="B62">
        <v>4</v>
      </c>
      <c r="C62" t="s">
        <v>113</v>
      </c>
      <c r="D62">
        <v>17</v>
      </c>
      <c r="H62" s="6">
        <f t="shared" si="7"/>
      </c>
      <c r="L62" s="6">
        <f>IFERROR(AVERAGE(I62:K62)/D62,"")</f>
      </c>
      <c r="O62" s="5"/>
      <c r="P62" s="6">
        <f>IFERROR(AVERAGE(M62:O62)/D62,"")</f>
      </c>
      <c r="T62" s="6">
        <f t="shared" si="8"/>
      </c>
      <c r="X62" s="6">
        <f t="shared" si="9"/>
      </c>
      <c r="AB62" s="6">
        <f>IFERROR(AVERAGE(AA62:AA62)/D62,"")</f>
      </c>
      <c r="AC62" s="6">
        <f t="shared" si="10"/>
      </c>
    </row>
    <row r="63" spans="2:29" x14ac:dyDescent="0.25">
      <c r="B63">
        <v>4</v>
      </c>
      <c r="C63" t="s">
        <v>114</v>
      </c>
      <c r="D63">
        <v>32</v>
      </c>
      <c r="H63" s="6">
        <f t="shared" si="7"/>
      </c>
      <c r="L63" s="6">
        <f>IFERROR(AVERAGE(I63:K63)/D63,"")</f>
      </c>
      <c r="O63" s="5"/>
      <c r="P63" s="6">
        <f>IFERROR(AVERAGE(M63:O63)/D63,"")</f>
      </c>
      <c r="T63" s="6">
        <f t="shared" si="8"/>
      </c>
      <c r="X63" s="6">
        <f t="shared" si="9"/>
      </c>
      <c r="AB63" s="6">
        <f>IFERROR(AVERAGE(AA63:AA63)/D63,"")</f>
      </c>
      <c r="AC63" s="6">
        <f t="shared" si="10"/>
      </c>
    </row>
    <row r="64" spans="2:29" x14ac:dyDescent="0.25">
      <c r="B64">
        <v>4</v>
      </c>
      <c r="C64" t="s">
        <v>115</v>
      </c>
      <c r="D64">
        <v>34</v>
      </c>
      <c r="H64" s="6">
        <f t="shared" si="7"/>
      </c>
      <c r="L64" s="6">
        <f>IFERROR(AVERAGE(I64:K64)/D64,"")</f>
      </c>
      <c r="O64" s="5"/>
      <c r="P64" s="6">
        <f>IFERROR(AVERAGE(M64:O64)/D64,"")</f>
      </c>
      <c r="T64" s="6">
        <f t="shared" si="8"/>
      </c>
      <c r="X64" s="6">
        <f t="shared" si="9"/>
      </c>
      <c r="AB64" s="6">
        <f>IFERROR(AVERAGE(AA64:AA64)/D64,"")</f>
      </c>
      <c r="AC64" s="6">
        <f t="shared" si="10"/>
      </c>
    </row>
    <row r="65" spans="1:29" x14ac:dyDescent="0.25">
      <c r="A65" t="s">
        <v>21</v>
      </c>
      <c r="B65">
        <v>4</v>
      </c>
      <c r="C65" t="s">
        <v>116</v>
      </c>
      <c r="D65">
        <v>32</v>
      </c>
      <c r="H65" s="6">
        <f t="shared" si="7"/>
      </c>
      <c r="L65" s="6">
        <f>IFERROR(AVERAGE(I65:K65)/D65,"")</f>
      </c>
      <c r="P65" s="6">
        <f>IFERROR(AVERAGE(M65:O65)/D65,"")</f>
      </c>
      <c r="T65" s="6">
        <f t="shared" si="8"/>
      </c>
      <c r="X65" s="6">
        <f t="shared" si="9"/>
      </c>
      <c r="AB65" s="6">
        <f>IFERROR(AVERAGE(AA65:AA65)/D65,"")</f>
      </c>
      <c r="AC65" s="6">
        <f t="shared" si="10"/>
      </c>
    </row>
    <row r="66" spans="1:29" x14ac:dyDescent="0.25">
      <c r="A66" t="s">
        <v>21</v>
      </c>
      <c r="B66">
        <v>4</v>
      </c>
      <c r="C66" t="s">
        <v>117</v>
      </c>
      <c r="D66">
        <v>32</v>
      </c>
      <c r="H66" s="6">
        <f t="shared" si="7"/>
      </c>
      <c r="L66" s="6">
        <f>IFERROR(AVERAGE(I66:K66)/D66,"")</f>
      </c>
      <c r="P66" s="6">
        <f>IFERROR(AVERAGE(M66:O66)/D66,"")</f>
      </c>
      <c r="T66" s="6">
        <f t="shared" si="8"/>
      </c>
      <c r="X66" s="6">
        <f t="shared" si="9"/>
      </c>
      <c r="AB66" s="6">
        <f>IFERROR(AVERAGE(AA66:AA66)/D66,"")</f>
      </c>
      <c r="AC66" s="6">
        <f t="shared" si="10"/>
      </c>
    </row>
    <row r="67" spans="1:29" x14ac:dyDescent="0.25">
      <c r="A67" t="s">
        <v>21</v>
      </c>
      <c r="B67">
        <v>4</v>
      </c>
      <c r="C67" t="s">
        <v>118</v>
      </c>
      <c r="D67">
        <v>30</v>
      </c>
      <c r="H67" s="6">
        <f t="shared" si="7"/>
      </c>
      <c r="L67" s="6">
        <f>IFERROR(AVERAGE(I67:K67)/D67,"")</f>
      </c>
      <c r="P67" s="6">
        <f>IFERROR(AVERAGE(M67:O67)/D67,"")</f>
      </c>
      <c r="T67" s="6">
        <f t="shared" si="8"/>
      </c>
      <c r="X67" s="6">
        <f t="shared" si="9"/>
      </c>
      <c r="AB67" s="6">
        <f>IFERROR(AVERAGE(AA67:AA67)/D67,"")</f>
      </c>
      <c r="AC67" s="6">
        <f t="shared" si="10"/>
      </c>
    </row>
    <row r="68" spans="1:29" x14ac:dyDescent="0.25">
      <c r="A68" t="s">
        <v>21</v>
      </c>
      <c r="B68">
        <v>4</v>
      </c>
      <c r="C68" t="s">
        <v>119</v>
      </c>
      <c r="D68">
        <v>32</v>
      </c>
      <c r="H68" s="6">
        <f t="shared" si="7"/>
      </c>
      <c r="L68" s="6">
        <f>IFERROR(AVERAGE(I68:K68)/D68,"")</f>
      </c>
      <c r="P68" s="6">
        <f>IFERROR(AVERAGE(M68:O68)/D68,"")</f>
      </c>
      <c r="T68" s="6">
        <f t="shared" ref="T68:T74" si="11">IFERROR(AVERAGE(Q68:S68)/D68,"")</f>
      </c>
      <c r="X68" s="6">
        <f t="shared" ref="X68:X74" si="12">IFERROR(AVERAGE(U68:W68)/D68,"")</f>
      </c>
      <c r="AB68" s="6">
        <f>IFERROR(AVERAGE(AA68:AA68)/D68,"")</f>
      </c>
      <c r="AC68" s="6">
        <f t="shared" ref="AC68:AC74" si="13">IFERROR(AVERAGE(H68,L68,P68,T68,X68,AB68),"")</f>
      </c>
    </row>
    <row r="69" spans="1:29" x14ac:dyDescent="0.25">
      <c r="A69" t="s">
        <v>21</v>
      </c>
      <c r="B69">
        <v>4</v>
      </c>
      <c r="C69" t="s">
        <v>120</v>
      </c>
      <c r="D69">
        <v>25</v>
      </c>
      <c r="H69" s="6">
        <f t="shared" si="7"/>
      </c>
      <c r="L69" s="6">
        <f>IFERROR(AVERAGE(I69:K69)/D69,"")</f>
      </c>
      <c r="P69" s="6">
        <f>IFERROR(AVERAGE(M69:O69)/D69,"")</f>
      </c>
      <c r="S69" s="5"/>
      <c r="T69" s="6">
        <f t="shared" si="11"/>
      </c>
      <c r="X69" s="6">
        <f t="shared" si="12"/>
      </c>
      <c r="AB69" s="6">
        <f>IFERROR(AVERAGE(AA69:AA69)/D69,"")</f>
      </c>
      <c r="AC69" s="6">
        <f t="shared" si="13"/>
      </c>
    </row>
    <row r="70" spans="1:29" x14ac:dyDescent="0.25">
      <c r="A70" t="s">
        <v>21</v>
      </c>
      <c r="B70">
        <v>4</v>
      </c>
      <c r="C70" t="s">
        <v>121</v>
      </c>
      <c r="D70">
        <v>25</v>
      </c>
      <c r="H70" s="6">
        <f t="shared" si="7"/>
      </c>
      <c r="L70" s="6">
        <f>IFERROR(AVERAGE(I70:K70)/D70,"")</f>
      </c>
      <c r="P70" s="6">
        <f>IFERROR(AVERAGE(M70:O70)/D70,"")</f>
      </c>
      <c r="T70" s="6">
        <f t="shared" si="11"/>
      </c>
      <c r="X70" s="6">
        <f t="shared" si="12"/>
      </c>
      <c r="AB70" s="6">
        <f>IFERROR(AVERAGE(AA70:AA70)/D70,"")</f>
      </c>
      <c r="AC70" s="6">
        <f t="shared" si="13"/>
      </c>
    </row>
    <row r="71" spans="1:29" x14ac:dyDescent="0.25">
      <c r="A71" t="s">
        <v>21</v>
      </c>
      <c r="B71">
        <v>4</v>
      </c>
      <c r="C71" t="s">
        <v>122</v>
      </c>
      <c r="D71">
        <v>25</v>
      </c>
      <c r="H71" s="6">
        <f t="shared" si="7"/>
      </c>
      <c r="L71" s="6">
        <f>IFERROR(AVERAGE(I71:K71)/D71,"")</f>
      </c>
      <c r="N71" s="5"/>
      <c r="P71" s="6">
        <f>IFERROR(AVERAGE(M71:O71)/D71,"")</f>
      </c>
      <c r="T71" s="6">
        <f t="shared" si="11"/>
      </c>
      <c r="X71" s="6">
        <f t="shared" si="12"/>
      </c>
      <c r="AB71" s="6">
        <f>IFERROR(AVERAGE(AA71:AA71)/D71,"")</f>
      </c>
      <c r="AC71" s="6">
        <f t="shared" si="13"/>
      </c>
    </row>
    <row r="72" spans="1:29" x14ac:dyDescent="0.25">
      <c r="A72" t="s">
        <v>21</v>
      </c>
      <c r="B72">
        <v>4</v>
      </c>
      <c r="C72" t="s">
        <v>123</v>
      </c>
      <c r="D72">
        <v>25</v>
      </c>
      <c r="H72" s="6">
        <f t="shared" si="7"/>
      </c>
      <c r="L72" s="6">
        <f>IFERROR(AVERAGE(I72:K72)/D72,"")</f>
      </c>
      <c r="P72" s="6">
        <f>IFERROR(AVERAGE(M72:O72)/D72,"")</f>
      </c>
      <c r="T72" s="6">
        <f t="shared" si="11"/>
      </c>
      <c r="X72" s="6">
        <f t="shared" si="12"/>
      </c>
      <c r="AB72" s="6">
        <f>IFERROR(AVERAGE(AA72:AA72)/D72,"")</f>
      </c>
      <c r="AC72" s="6">
        <f t="shared" si="13"/>
      </c>
    </row>
    <row r="73" spans="1:29" x14ac:dyDescent="0.25">
      <c r="A73" t="s">
        <v>21</v>
      </c>
      <c r="B73">
        <v>4</v>
      </c>
      <c r="C73" t="s">
        <v>124</v>
      </c>
      <c r="D73">
        <v>25</v>
      </c>
      <c r="H73" s="6">
        <f t="shared" si="7"/>
      </c>
      <c r="L73" s="6">
        <f>IFERROR(AVERAGE(I73:K73)/D73,"")</f>
      </c>
      <c r="P73" s="6">
        <f>IFERROR(AVERAGE(M73:O73)/D73,"")</f>
      </c>
      <c r="T73" s="6">
        <f t="shared" si="11"/>
      </c>
      <c r="X73" s="6">
        <f t="shared" si="12"/>
      </c>
      <c r="AB73" s="6">
        <f>IFERROR(AVERAGE(AA73:AA73)/D73,"")</f>
      </c>
      <c r="AC73" s="6">
        <f t="shared" si="13"/>
      </c>
    </row>
    <row r="74" spans="3:29" x14ac:dyDescent="0.25">
      <c r="C74" s="7" t="s">
        <v>52</v>
      </c>
      <c r="D74" s="7">
        <f>SUM(D4:D73)</f>
        <v>1488</v>
      </c>
      <c r="E74">
        <f>SUM(E4:E73)</f>
      </c>
      <c r="F74">
        <f>SUM(F4:F73)</f>
        <v>25</v>
      </c>
      <c r="G74">
        <f>SUM(G4:G73)</f>
      </c>
      <c r="H74" s="6">
        <f>IFERROR(AVERAGE(E74:G74)/D74,"")</f>
        <v>0.0168</v>
      </c>
      <c r="I74">
        <f>SUM(I4:I73)</f>
      </c>
      <c r="J74">
        <f>SUM(J4:J73)</f>
      </c>
      <c r="K74">
        <f>SUM(K4:K73)</f>
      </c>
      <c r="L74" s="6">
        <f t="shared" ref="L74" si="14">IFERROR(AVERAGE(I74:K74)/D74,"")</f>
      </c>
      <c r="M74">
        <f>SUM(M4:M73)</f>
      </c>
      <c r="N74">
        <f>SUM(N4:N73)</f>
      </c>
      <c r="O74">
        <f>SUM(O4:O73)</f>
      </c>
      <c r="P74" s="6">
        <f t="shared" ref="P68:P74" si="15">IFERROR(AVERAGE(M74:O74)/D74,"")</f>
      </c>
      <c r="Q74">
        <f>SUM(Q4:Q73)</f>
        <v>25</v>
      </c>
      <c r="R74">
        <f>SUM(R4:R73)</f>
      </c>
      <c r="S74">
        <f>SUM(S4:S73)</f>
      </c>
      <c r="T74" s="6">
        <f>IFERROR(AVERAGE(Q74:S74)/D74,"")</f>
        <v>0.0168</v>
      </c>
      <c r="U74">
        <f>SUM(U4:U73)</f>
      </c>
      <c r="V74">
        <f>SUM(V4:V73)</f>
      </c>
      <c r="W74">
        <f>SUM(W4:W73)</f>
      </c>
      <c r="X74" s="6">
        <f t="shared" si="12"/>
      </c>
      <c r="Y74">
        <f>SUM(Y4:Y73)</f>
      </c>
      <c r="Z74">
        <f>SUM(Z4:Z73)</f>
      </c>
      <c r="AA74">
        <f>SUM(AA4:AA73)</f>
        <v>49</v>
      </c>
      <c r="AB74" s="6">
        <f>IFERROR(AVERAGE(Y74:AA74)/D74,"")</f>
        <v>0.0329</v>
      </c>
      <c r="AC74" s="6">
        <f>IFERROR(AVERAGE(H74,L74,P74,T74,X74,AB74),"")</f>
        <v>0.0222</v>
      </c>
    </row>
  </sheetData>
  <mergeCells count="7">
    <mergeCell ref="A1:AC1"/>
    <mergeCell ref="E2:G2"/>
    <mergeCell ref="I2:K2"/>
    <mergeCell ref="M2:O2"/>
    <mergeCell ref="Q2:S2"/>
    <mergeCell ref="U2:W2"/>
    <mergeCell ref="Y2:AA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"/>
  <sheetViews>
    <sheetView workbookViewId="0" zoomScale="70" zoomScaleNormal="70">
      <pane xSplit="4" ySplit="3" topLeftCell="E19" activePane="bottomRight" state="frozen"/>
      <selection pane="bottomRight" activeCell="D50" sqref="D50"/>
    </sheetView>
  </sheetViews>
  <sheetFormatPr defaultRowHeight="15" outlineLevelRow="0" outlineLevelCol="0" x14ac:dyDescent="55"/>
  <cols>
    <col min="1" max="1" width="30.85546875" customWidth="1"/>
    <col min="2" max="2" width="8" customWidth="1"/>
    <col min="3" max="3" width="26" customWidth="1"/>
    <col min="4" max="4" width="12" customWidth="1"/>
    <col min="5" max="7" width="10" customWidth="1"/>
    <col min="8" max="8" width="14" customWidth="1"/>
    <col min="9" max="11" width="10" customWidth="1"/>
    <col min="12" max="12" width="14" customWidth="1"/>
    <col min="13" max="15" width="10" customWidth="1"/>
    <col min="16" max="16" width="14" customWidth="1"/>
    <col min="17" max="19" width="10" customWidth="1"/>
    <col min="20" max="20" width="14" customWidth="1"/>
    <col min="21" max="23" width="10" customWidth="1"/>
    <col min="24" max="24" width="14" customWidth="1"/>
    <col min="25" max="27" width="10" customWidth="1"/>
    <col min="28" max="29" width="14" customWidth="1"/>
  </cols>
  <sheetData>
    <row r="1" ht="32.1" customHeight="1" spans="1:29" x14ac:dyDescent="0.25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1.95" customHeight="1" spans="5:27" x14ac:dyDescent="0.25">
      <c r="E2" s="2" t="s">
        <v>1</v>
      </c>
      <c r="F2" s="2"/>
      <c r="G2" s="2"/>
      <c r="I2" s="2" t="s">
        <v>2</v>
      </c>
      <c r="J2" s="2"/>
      <c r="K2" s="2"/>
      <c r="M2" s="2" t="s">
        <v>3</v>
      </c>
      <c r="N2" s="2"/>
      <c r="O2" s="2"/>
      <c r="Q2" s="2" t="s">
        <v>4</v>
      </c>
      <c r="R2" s="2"/>
      <c r="S2" s="2"/>
      <c r="U2" s="2" t="s">
        <v>5</v>
      </c>
      <c r="V2" s="2"/>
      <c r="W2" s="2"/>
      <c r="Y2" s="2" t="s">
        <v>6</v>
      </c>
      <c r="Z2" s="2"/>
      <c r="AA2" s="2"/>
    </row>
    <row r="3" ht="27.95" customHeight="1" spans="1:29" x14ac:dyDescent="0.25">
      <c r="A3" s="3" t="s">
        <v>7</v>
      </c>
      <c r="B3" s="3" t="s">
        <v>8</v>
      </c>
      <c r="C3" s="3" t="s">
        <v>9</v>
      </c>
      <c r="D3" s="3" t="s">
        <v>10</v>
      </c>
      <c r="E3" s="2" t="s">
        <v>11</v>
      </c>
      <c r="H3" s="4" t="s">
        <v>12</v>
      </c>
      <c r="I3" s="2" t="s">
        <v>13</v>
      </c>
      <c r="L3" s="4" t="s">
        <v>12</v>
      </c>
      <c r="M3" s="2" t="s">
        <v>14</v>
      </c>
      <c r="P3" s="4" t="s">
        <v>12</v>
      </c>
      <c r="Q3" s="2" t="s">
        <v>15</v>
      </c>
      <c r="T3" s="4" t="s">
        <v>12</v>
      </c>
      <c r="U3" s="2" t="s">
        <v>16</v>
      </c>
      <c r="X3" s="4" t="s">
        <v>12</v>
      </c>
      <c r="Y3" s="2" t="s">
        <v>17</v>
      </c>
      <c r="AB3" s="4" t="s">
        <v>12</v>
      </c>
      <c r="AC3" s="3" t="s">
        <v>18</v>
      </c>
    </row>
    <row r="4" spans="1:29" x14ac:dyDescent="0.25">
      <c r="A4" t="s">
        <v>126</v>
      </c>
      <c r="B4">
        <v>1</v>
      </c>
      <c r="C4" t="s">
        <v>127</v>
      </c>
      <c r="D4">
        <v>23</v>
      </c>
      <c r="G4" s="5">
        <v>22</v>
      </c>
      <c r="H4" s="6">
        <f t="shared" ref="H4:H49" si="4">IFERROR(AVERAGE(E4:G4)/D4,"")</f>
        <v>0.9565</v>
      </c>
      <c r="L4" s="6">
        <f t="shared" ref="L4:L50" si="0">IFERROR(AVERAGE(I4:K4)/D4,"")</f>
      </c>
      <c r="N4" s="5">
        <v>26</v>
      </c>
      <c r="P4" s="6">
        <f t="shared" ref="P4:P49" si="5">IFERROR(AVERAGE(M4:O4)/D4,"")</f>
        <v>1</v>
      </c>
      <c r="T4" s="6">
        <f t="shared" ref="T4:T50" si="1">IFERROR(AVERAGE(Q4:S4)/D4,"")</f>
      </c>
      <c r="X4" s="6">
        <f t="shared" ref="X4:X50" si="2">IFERROR(AVERAGE(U4:W4)/D4,"")</f>
      </c>
      <c r="AB4" s="6">
        <f t="shared" ref="AB4:AB50" si="3">IFERROR(AVERAGE(Y4:AA4)/D4,"")</f>
      </c>
      <c r="AC4" s="6">
        <f t="shared" ref="AC4:AC49" si="6">IFERROR(AVERAGE(H4,L4,P4,T4,X4,AB4),"")</f>
        <v>0.9783</v>
      </c>
    </row>
    <row r="5" spans="1:29" x14ac:dyDescent="0.25">
      <c r="A5" t="s">
        <v>21</v>
      </c>
      <c r="B5">
        <v>1</v>
      </c>
      <c r="C5" t="s">
        <v>128</v>
      </c>
      <c r="D5">
        <v>24</v>
      </c>
      <c r="H5" s="6">
        <f t="shared" si="4"/>
      </c>
      <c r="L5" s="6">
        <f t="shared" si="0"/>
      </c>
      <c r="P5" s="6">
        <f t="shared" si="5"/>
      </c>
      <c r="T5" s="6">
        <f t="shared" si="1"/>
      </c>
      <c r="X5" s="6">
        <f t="shared" si="2"/>
      </c>
      <c r="AB5" s="6">
        <f t="shared" si="3"/>
      </c>
      <c r="AC5" s="6">
        <f t="shared" si="6"/>
      </c>
    </row>
    <row r="6" spans="2:29" x14ac:dyDescent="0.25">
      <c r="B6">
        <v>1</v>
      </c>
      <c r="C6" t="s">
        <v>129</v>
      </c>
      <c r="D6">
        <v>29</v>
      </c>
      <c r="H6" s="6">
        <f t="shared" si="4"/>
      </c>
      <c r="L6" s="6">
        <f t="shared" si="0"/>
      </c>
      <c r="P6" s="6">
        <f t="shared" si="5"/>
      </c>
      <c r="T6" s="6">
        <f t="shared" si="1"/>
      </c>
      <c r="X6" s="6">
        <f t="shared" si="2"/>
      </c>
      <c r="AB6" s="6">
        <f t="shared" si="3"/>
      </c>
      <c r="AC6" s="6">
        <f t="shared" si="6"/>
      </c>
    </row>
    <row r="7" spans="2:29" x14ac:dyDescent="0.25">
      <c r="B7">
        <v>1</v>
      </c>
      <c r="C7" t="s">
        <v>130</v>
      </c>
      <c r="D7">
        <v>29</v>
      </c>
      <c r="G7" s="5">
        <v>29</v>
      </c>
      <c r="H7" s="6">
        <f>IFERROR(AVERAGE(E7:G7)/D7,"")</f>
        <v>1</v>
      </c>
      <c r="L7" s="6">
        <f t="shared" si="0"/>
      </c>
      <c r="P7" s="6">
        <f t="shared" si="5"/>
      </c>
      <c r="T7" s="6">
        <f t="shared" si="1"/>
      </c>
      <c r="X7" s="6">
        <f t="shared" si="2"/>
      </c>
      <c r="AB7" s="6">
        <f t="shared" si="3"/>
      </c>
      <c r="AC7" s="6">
        <f>IFERROR(AVERAGE(H7,L7,P7,T7,X7,AB7),"")</f>
        <v>1</v>
      </c>
    </row>
    <row r="8" spans="2:29" x14ac:dyDescent="0.25">
      <c r="B8">
        <v>1</v>
      </c>
      <c r="C8" t="s">
        <v>131</v>
      </c>
      <c r="D8">
        <v>19</v>
      </c>
      <c r="H8" s="6">
        <f t="shared" si="4"/>
      </c>
      <c r="L8" s="6">
        <f t="shared" si="0"/>
      </c>
      <c r="P8" s="6">
        <f t="shared" si="5"/>
      </c>
      <c r="T8" s="6">
        <f t="shared" si="1"/>
      </c>
      <c r="X8" s="6">
        <f t="shared" si="2"/>
      </c>
      <c r="AB8" s="6">
        <f t="shared" si="3"/>
      </c>
      <c r="AC8" s="6">
        <f t="shared" si="6"/>
      </c>
    </row>
    <row r="9" spans="2:29" x14ac:dyDescent="0.25">
      <c r="B9">
        <v>1</v>
      </c>
      <c r="C9" t="s">
        <v>132</v>
      </c>
      <c r="D9">
        <v>22</v>
      </c>
      <c r="H9" s="6">
        <f t="shared" si="4"/>
      </c>
      <c r="L9" s="6">
        <f t="shared" si="0"/>
      </c>
      <c r="P9" s="6">
        <f t="shared" si="5"/>
      </c>
      <c r="T9" s="6">
        <f t="shared" si="1"/>
      </c>
      <c r="X9" s="6">
        <f t="shared" si="2"/>
      </c>
      <c r="AB9" s="6">
        <f t="shared" si="3"/>
      </c>
      <c r="AC9" s="6">
        <f t="shared" si="6"/>
      </c>
    </row>
    <row r="10" spans="2:29" x14ac:dyDescent="0.25">
      <c r="B10">
        <v>1</v>
      </c>
      <c r="C10" t="s">
        <v>133</v>
      </c>
      <c r="D10">
        <v>19</v>
      </c>
      <c r="H10" s="6">
        <f t="shared" si="4"/>
      </c>
      <c r="L10" s="6">
        <f t="shared" si="0"/>
      </c>
      <c r="P10" s="6">
        <f t="shared" si="5"/>
      </c>
      <c r="T10" s="6">
        <f t="shared" si="1"/>
      </c>
      <c r="X10" s="6">
        <f t="shared" si="2"/>
      </c>
      <c r="AB10" s="6">
        <f t="shared" si="3"/>
      </c>
      <c r="AC10" s="6">
        <f t="shared" si="6"/>
      </c>
    </row>
    <row r="11" spans="2:29" x14ac:dyDescent="0.25">
      <c r="B11">
        <v>1</v>
      </c>
      <c r="C11" t="s">
        <v>134</v>
      </c>
      <c r="D11">
        <v>18</v>
      </c>
      <c r="H11" s="6">
        <f t="shared" si="4"/>
      </c>
      <c r="L11" s="6">
        <f t="shared" si="0"/>
      </c>
      <c r="P11" s="6">
        <f t="shared" si="5"/>
      </c>
      <c r="T11" s="6">
        <f t="shared" si="1"/>
      </c>
      <c r="X11" s="6">
        <f t="shared" si="2"/>
      </c>
      <c r="AB11" s="6">
        <f t="shared" si="3"/>
      </c>
      <c r="AC11" s="6">
        <f t="shared" si="6"/>
      </c>
    </row>
    <row r="12" spans="2:29" x14ac:dyDescent="0.25">
      <c r="B12">
        <v>1</v>
      </c>
      <c r="C12" t="s">
        <v>135</v>
      </c>
      <c r="D12">
        <v>17</v>
      </c>
      <c r="H12" s="6">
        <f t="shared" si="4"/>
      </c>
      <c r="L12" s="6">
        <f t="shared" si="0"/>
      </c>
      <c r="P12" s="6">
        <f t="shared" si="5"/>
      </c>
      <c r="T12" s="6">
        <f t="shared" si="1"/>
      </c>
      <c r="X12" s="6">
        <f t="shared" si="2"/>
      </c>
      <c r="AB12" s="6">
        <f t="shared" si="3"/>
      </c>
      <c r="AC12" s="6">
        <f t="shared" si="6"/>
      </c>
    </row>
    <row r="13" spans="2:29" x14ac:dyDescent="0.25">
      <c r="B13">
        <v>1</v>
      </c>
      <c r="C13" t="s">
        <v>136</v>
      </c>
      <c r="D13">
        <v>23</v>
      </c>
      <c r="G13" s="5">
        <v>23</v>
      </c>
      <c r="H13" s="6">
        <f>IFERROR(AVERAGE(E13:G13)/D13,"")</f>
        <v>1</v>
      </c>
      <c r="L13" s="6">
        <f t="shared" si="0"/>
      </c>
      <c r="P13" s="6">
        <f t="shared" si="5"/>
      </c>
      <c r="T13" s="6">
        <f t="shared" si="1"/>
      </c>
      <c r="X13" s="6">
        <f t="shared" si="2"/>
      </c>
      <c r="AB13" s="6">
        <f t="shared" si="3"/>
      </c>
      <c r="AC13" s="6">
        <f>IFERROR(AVERAGE(H13,L13,P13,T13,X13,AB13),"")</f>
        <v>1</v>
      </c>
    </row>
    <row r="14" spans="2:29" x14ac:dyDescent="0.25">
      <c r="B14">
        <v>1</v>
      </c>
      <c r="C14" t="s">
        <v>137</v>
      </c>
      <c r="D14">
        <v>23</v>
      </c>
      <c r="H14" s="6">
        <f t="shared" si="4"/>
      </c>
      <c r="L14" s="6">
        <f t="shared" si="0"/>
      </c>
      <c r="P14" s="6">
        <f t="shared" si="5"/>
      </c>
      <c r="T14" s="6">
        <f t="shared" si="1"/>
      </c>
      <c r="X14" s="6">
        <f t="shared" si="2"/>
      </c>
      <c r="AB14" s="6">
        <f t="shared" si="3"/>
      </c>
      <c r="AC14" s="6">
        <f t="shared" si="6"/>
      </c>
    </row>
    <row r="15" spans="2:29" x14ac:dyDescent="0.25">
      <c r="B15">
        <v>2</v>
      </c>
      <c r="C15" t="s">
        <v>138</v>
      </c>
      <c r="D15">
        <v>21</v>
      </c>
      <c r="H15" s="6">
        <f t="shared" si="4"/>
      </c>
      <c r="L15" s="6">
        <f t="shared" si="0"/>
      </c>
      <c r="P15" s="6">
        <f t="shared" si="5"/>
      </c>
      <c r="T15" s="6">
        <f t="shared" si="1"/>
      </c>
      <c r="X15" s="6">
        <f t="shared" si="2"/>
      </c>
      <c r="AB15" s="6">
        <f t="shared" si="3"/>
      </c>
      <c r="AC15" s="6">
        <f t="shared" si="6"/>
      </c>
    </row>
    <row r="16" spans="2:29" x14ac:dyDescent="0.25">
      <c r="B16">
        <v>2</v>
      </c>
      <c r="C16" t="s">
        <v>139</v>
      </c>
      <c r="D16">
        <v>23</v>
      </c>
      <c r="H16" s="6">
        <f t="shared" si="4"/>
      </c>
      <c r="L16" s="6">
        <f t="shared" si="0"/>
      </c>
      <c r="P16" s="6">
        <f t="shared" si="5"/>
      </c>
      <c r="T16" s="6">
        <f t="shared" si="1"/>
      </c>
      <c r="X16" s="6">
        <f t="shared" si="2"/>
      </c>
      <c r="AB16" s="6">
        <f t="shared" si="3"/>
      </c>
      <c r="AC16" s="6">
        <f t="shared" si="6"/>
      </c>
    </row>
    <row r="17" spans="2:29" x14ac:dyDescent="0.25">
      <c r="B17">
        <v>2</v>
      </c>
      <c r="C17" t="s">
        <v>140</v>
      </c>
      <c r="D17">
        <v>22</v>
      </c>
      <c r="H17" s="6">
        <f t="shared" si="4"/>
      </c>
      <c r="L17" s="6">
        <f t="shared" si="0"/>
      </c>
      <c r="P17" s="6">
        <f t="shared" si="5"/>
      </c>
      <c r="T17" s="6">
        <f t="shared" si="1"/>
      </c>
      <c r="X17" s="6">
        <f t="shared" si="2"/>
      </c>
      <c r="AB17" s="6">
        <f t="shared" si="3"/>
      </c>
      <c r="AC17" s="6">
        <f t="shared" si="6"/>
      </c>
    </row>
    <row r="18" spans="2:29" x14ac:dyDescent="0.25">
      <c r="B18">
        <v>2</v>
      </c>
      <c r="C18" t="s">
        <v>141</v>
      </c>
      <c r="D18">
        <v>21</v>
      </c>
      <c r="H18" s="6">
        <f t="shared" si="4"/>
      </c>
      <c r="L18" s="6">
        <f t="shared" si="0"/>
      </c>
      <c r="P18" s="6">
        <f t="shared" si="5"/>
      </c>
      <c r="T18" s="6">
        <f t="shared" si="1"/>
      </c>
      <c r="X18" s="6">
        <f t="shared" si="2"/>
      </c>
      <c r="AB18" s="6">
        <f t="shared" si="3"/>
      </c>
      <c r="AC18" s="6">
        <f t="shared" si="6"/>
      </c>
    </row>
    <row r="19" spans="2:29" x14ac:dyDescent="0.25">
      <c r="B19">
        <v>2</v>
      </c>
      <c r="C19" t="s">
        <v>142</v>
      </c>
      <c r="D19">
        <v>21</v>
      </c>
      <c r="H19" s="6">
        <f t="shared" si="4"/>
      </c>
      <c r="L19" s="6">
        <f t="shared" si="0"/>
      </c>
      <c r="P19" s="6">
        <f t="shared" si="5"/>
      </c>
      <c r="T19" s="6">
        <f t="shared" si="1"/>
      </c>
      <c r="X19" s="6">
        <f t="shared" si="2"/>
      </c>
      <c r="AB19" s="6">
        <f t="shared" si="3"/>
      </c>
      <c r="AC19" s="6">
        <f t="shared" si="6"/>
      </c>
    </row>
    <row r="20" spans="2:29" x14ac:dyDescent="0.25">
      <c r="B20">
        <v>2</v>
      </c>
      <c r="C20" t="s">
        <v>143</v>
      </c>
      <c r="D20">
        <v>26</v>
      </c>
      <c r="H20" s="6">
        <f t="shared" si="4"/>
      </c>
      <c r="L20" s="6">
        <f t="shared" si="0"/>
      </c>
      <c r="P20" s="6">
        <f t="shared" si="5"/>
      </c>
      <c r="T20" s="6">
        <f t="shared" si="1"/>
      </c>
      <c r="X20" s="6">
        <f t="shared" si="2"/>
      </c>
      <c r="AB20" s="6">
        <f t="shared" si="3"/>
      </c>
      <c r="AC20" s="6">
        <f t="shared" si="6"/>
      </c>
    </row>
    <row r="21" spans="2:29" x14ac:dyDescent="0.25">
      <c r="B21">
        <v>2</v>
      </c>
      <c r="C21" t="s">
        <v>144</v>
      </c>
      <c r="D21">
        <v>23</v>
      </c>
      <c r="H21" s="6">
        <f t="shared" si="4"/>
      </c>
      <c r="L21" s="6">
        <f t="shared" si="0"/>
      </c>
      <c r="P21" s="6">
        <f t="shared" si="5"/>
      </c>
      <c r="T21" s="6">
        <f t="shared" si="1"/>
      </c>
      <c r="X21" s="6">
        <f t="shared" si="2"/>
      </c>
      <c r="AB21" s="6">
        <f t="shared" si="3"/>
      </c>
      <c r="AC21" s="6">
        <f t="shared" si="6"/>
      </c>
    </row>
    <row r="22" spans="2:29" x14ac:dyDescent="0.25">
      <c r="B22">
        <v>2</v>
      </c>
      <c r="C22" t="s">
        <v>145</v>
      </c>
      <c r="D22">
        <v>28</v>
      </c>
      <c r="H22" s="6">
        <f t="shared" si="4"/>
      </c>
      <c r="L22" s="6">
        <f t="shared" si="0"/>
      </c>
      <c r="P22" s="6">
        <f t="shared" si="5"/>
      </c>
      <c r="T22" s="6">
        <f t="shared" si="1"/>
      </c>
      <c r="X22" s="6">
        <f t="shared" si="2"/>
      </c>
      <c r="AB22" s="6">
        <f t="shared" si="3"/>
      </c>
      <c r="AC22" s="6">
        <f t="shared" si="6"/>
      </c>
    </row>
    <row r="23" spans="2:29" x14ac:dyDescent="0.25">
      <c r="B23">
        <v>2</v>
      </c>
      <c r="C23" t="s">
        <v>146</v>
      </c>
      <c r="D23">
        <v>25</v>
      </c>
      <c r="H23" s="6">
        <f t="shared" si="4"/>
      </c>
      <c r="L23" s="6">
        <f t="shared" si="0"/>
      </c>
      <c r="P23" s="6">
        <f t="shared" si="5"/>
      </c>
      <c r="T23" s="6">
        <f t="shared" si="1"/>
      </c>
      <c r="X23" s="6">
        <f t="shared" si="2"/>
      </c>
      <c r="AB23" s="6">
        <f t="shared" si="3"/>
      </c>
      <c r="AC23" s="6">
        <f t="shared" si="6"/>
      </c>
    </row>
    <row r="24" spans="2:29" x14ac:dyDescent="0.25">
      <c r="B24">
        <v>2</v>
      </c>
      <c r="C24" t="s">
        <v>147</v>
      </c>
      <c r="D24">
        <v>26</v>
      </c>
      <c r="H24" s="6">
        <f t="shared" si="4"/>
      </c>
      <c r="L24" s="6">
        <f t="shared" si="0"/>
      </c>
      <c r="P24" s="6">
        <f t="shared" si="5"/>
      </c>
      <c r="T24" s="6">
        <f t="shared" si="1"/>
      </c>
      <c r="X24" s="6">
        <f t="shared" si="2"/>
      </c>
      <c r="AB24" s="6">
        <f t="shared" si="3"/>
      </c>
      <c r="AC24" s="6">
        <f t="shared" si="6"/>
      </c>
    </row>
    <row r="25" spans="2:29" x14ac:dyDescent="0.25">
      <c r="B25">
        <v>2</v>
      </c>
      <c r="C25" t="s">
        <v>148</v>
      </c>
      <c r="D25">
        <v>23</v>
      </c>
      <c r="H25" s="6">
        <f t="shared" si="4"/>
      </c>
      <c r="L25" s="6">
        <f t="shared" si="0"/>
      </c>
      <c r="P25" s="6">
        <f t="shared" si="5"/>
      </c>
      <c r="T25" s="6">
        <f t="shared" si="1"/>
      </c>
      <c r="X25" s="6">
        <f t="shared" si="2"/>
      </c>
      <c r="AB25" s="6">
        <f t="shared" si="3"/>
      </c>
      <c r="AC25" s="6">
        <f t="shared" si="6"/>
      </c>
    </row>
    <row r="26" spans="2:29" x14ac:dyDescent="0.25">
      <c r="B26">
        <v>2</v>
      </c>
      <c r="C26" t="s">
        <v>149</v>
      </c>
      <c r="D26">
        <v>18</v>
      </c>
      <c r="H26" s="6">
        <f t="shared" si="4"/>
      </c>
      <c r="L26" s="6">
        <f t="shared" si="0"/>
      </c>
      <c r="P26" s="6">
        <f t="shared" si="5"/>
      </c>
      <c r="T26" s="6">
        <f t="shared" si="1"/>
      </c>
      <c r="X26" s="6">
        <f t="shared" si="2"/>
      </c>
      <c r="AB26" s="6">
        <f t="shared" si="3"/>
      </c>
      <c r="AC26" s="6">
        <f t="shared" si="6"/>
      </c>
    </row>
    <row r="27" spans="2:29" x14ac:dyDescent="0.25">
      <c r="B27">
        <v>2</v>
      </c>
      <c r="C27" t="s">
        <v>150</v>
      </c>
      <c r="D27">
        <v>18</v>
      </c>
      <c r="H27" s="6">
        <f t="shared" si="4"/>
      </c>
      <c r="L27" s="6">
        <f t="shared" si="0"/>
      </c>
      <c r="P27" s="6">
        <f t="shared" si="5"/>
      </c>
      <c r="T27" s="6">
        <f t="shared" si="1"/>
      </c>
      <c r="X27" s="6">
        <f t="shared" si="2"/>
      </c>
      <c r="AB27" s="6">
        <f t="shared" si="3"/>
      </c>
      <c r="AC27" s="6">
        <f t="shared" si="6"/>
      </c>
    </row>
    <row r="28" spans="2:29" x14ac:dyDescent="0.25">
      <c r="B28">
        <v>2</v>
      </c>
      <c r="C28" t="s">
        <v>151</v>
      </c>
      <c r="D28">
        <v>21</v>
      </c>
      <c r="H28" s="6">
        <f t="shared" si="4"/>
      </c>
      <c r="L28" s="6">
        <f t="shared" si="0"/>
      </c>
      <c r="P28" s="6">
        <f t="shared" si="5"/>
      </c>
      <c r="T28" s="6">
        <f t="shared" si="1"/>
      </c>
      <c r="X28" s="6">
        <f t="shared" si="2"/>
      </c>
      <c r="AB28" s="6">
        <f t="shared" si="3"/>
      </c>
      <c r="AC28" s="6">
        <f t="shared" si="6"/>
      </c>
    </row>
    <row r="29" spans="2:29" x14ac:dyDescent="0.25">
      <c r="B29">
        <v>2</v>
      </c>
      <c r="C29" t="s">
        <v>152</v>
      </c>
      <c r="D29">
        <v>20</v>
      </c>
      <c r="H29" s="6">
        <f t="shared" si="4"/>
      </c>
      <c r="L29" s="6">
        <f t="shared" si="0"/>
      </c>
      <c r="P29" s="6">
        <f t="shared" si="5"/>
      </c>
      <c r="T29" s="6">
        <f t="shared" si="1"/>
      </c>
      <c r="X29" s="6">
        <f t="shared" si="2"/>
      </c>
      <c r="AB29" s="6">
        <f t="shared" si="3"/>
      </c>
      <c r="AC29" s="6">
        <f t="shared" si="6"/>
      </c>
    </row>
    <row r="30" spans="2:29" x14ac:dyDescent="0.25">
      <c r="B30">
        <v>2</v>
      </c>
      <c r="C30" t="s">
        <v>153</v>
      </c>
      <c r="D30">
        <v>21</v>
      </c>
      <c r="H30" s="6">
        <f t="shared" si="4"/>
      </c>
      <c r="L30" s="6">
        <f t="shared" si="0"/>
      </c>
      <c r="P30" s="6">
        <f t="shared" si="5"/>
      </c>
      <c r="T30" s="6">
        <f t="shared" si="1"/>
      </c>
      <c r="X30" s="6">
        <f t="shared" si="2"/>
      </c>
      <c r="AB30" s="6">
        <f t="shared" si="3"/>
      </c>
      <c r="AC30" s="6">
        <f t="shared" si="6"/>
      </c>
    </row>
    <row r="31" spans="2:29" x14ac:dyDescent="0.25">
      <c r="B31">
        <v>3</v>
      </c>
      <c r="C31" t="s">
        <v>154</v>
      </c>
      <c r="D31">
        <v>27</v>
      </c>
      <c r="H31" s="6">
        <f t="shared" si="4"/>
      </c>
      <c r="L31" s="6">
        <f t="shared" si="0"/>
      </c>
      <c r="P31" s="6">
        <f t="shared" si="5"/>
      </c>
      <c r="T31" s="6">
        <f t="shared" si="1"/>
      </c>
      <c r="X31" s="6">
        <f t="shared" si="2"/>
      </c>
      <c r="AB31" s="6">
        <f t="shared" si="3"/>
      </c>
      <c r="AC31" s="6">
        <f t="shared" si="6"/>
      </c>
    </row>
    <row r="32" spans="2:29" x14ac:dyDescent="0.25">
      <c r="B32">
        <v>3</v>
      </c>
      <c r="C32" t="s">
        <v>155</v>
      </c>
      <c r="D32">
        <v>27</v>
      </c>
      <c r="G32" s="5">
        <v>25</v>
      </c>
      <c r="H32" s="6">
        <f>IFERROR(AVERAGE(E32:G32)/D32,"")</f>
        <v>0.9259</v>
      </c>
      <c r="L32" s="6">
        <f t="shared" si="0"/>
      </c>
      <c r="P32" s="6">
        <f t="shared" si="5"/>
      </c>
      <c r="T32" s="6">
        <f t="shared" si="1"/>
      </c>
      <c r="X32" s="6">
        <f t="shared" si="2"/>
      </c>
      <c r="AB32" s="6">
        <f t="shared" si="3"/>
      </c>
      <c r="AC32" s="6">
        <f>IFERROR(AVERAGE(H32,L32,P32,T32,X32,AB32),"")</f>
        <v>0.9259</v>
      </c>
    </row>
    <row r="33" spans="2:29" x14ac:dyDescent="0.25">
      <c r="B33">
        <v>3</v>
      </c>
      <c r="C33" t="s">
        <v>156</v>
      </c>
      <c r="D33">
        <v>30</v>
      </c>
      <c r="H33" s="6">
        <f t="shared" si="4"/>
      </c>
      <c r="L33" s="6">
        <f t="shared" si="0"/>
      </c>
      <c r="P33" s="6">
        <f t="shared" si="5"/>
      </c>
      <c r="T33" s="6">
        <f t="shared" si="1"/>
      </c>
      <c r="X33" s="6">
        <f t="shared" si="2"/>
      </c>
      <c r="AB33" s="6">
        <f t="shared" si="3"/>
      </c>
      <c r="AC33" s="6">
        <f t="shared" si="6"/>
      </c>
    </row>
    <row r="34" spans="2:29" x14ac:dyDescent="0.25">
      <c r="B34">
        <v>3</v>
      </c>
      <c r="C34" t="s">
        <v>157</v>
      </c>
      <c r="D34">
        <v>25</v>
      </c>
      <c r="H34" s="6">
        <f t="shared" si="4"/>
      </c>
      <c r="L34" s="6">
        <f t="shared" si="0"/>
      </c>
      <c r="P34" s="6">
        <f t="shared" si="5"/>
      </c>
      <c r="T34" s="6">
        <f t="shared" si="1"/>
      </c>
      <c r="X34" s="6">
        <f t="shared" si="2"/>
      </c>
      <c r="AB34" s="6">
        <f t="shared" si="3"/>
      </c>
      <c r="AC34" s="6">
        <f t="shared" si="6"/>
      </c>
    </row>
    <row r="35" spans="2:29" x14ac:dyDescent="0.25">
      <c r="B35">
        <v>3</v>
      </c>
      <c r="C35" t="s">
        <v>158</v>
      </c>
      <c r="D35">
        <v>25</v>
      </c>
      <c r="H35" s="6">
        <f t="shared" si="4"/>
      </c>
      <c r="L35" s="6">
        <f t="shared" si="0"/>
      </c>
      <c r="P35" s="6">
        <f t="shared" si="5"/>
      </c>
      <c r="T35" s="6">
        <f t="shared" si="1"/>
      </c>
      <c r="X35" s="6">
        <f t="shared" si="2"/>
      </c>
      <c r="AB35" s="6">
        <f t="shared" si="3"/>
      </c>
      <c r="AC35" s="6">
        <f t="shared" si="6"/>
      </c>
    </row>
    <row r="36" spans="2:29" x14ac:dyDescent="0.25">
      <c r="B36">
        <v>3</v>
      </c>
      <c r="C36" t="s">
        <v>159</v>
      </c>
      <c r="D36">
        <v>25</v>
      </c>
      <c r="H36" s="6">
        <f t="shared" si="4"/>
      </c>
      <c r="L36" s="6">
        <f t="shared" si="0"/>
      </c>
      <c r="P36" s="6">
        <f t="shared" si="5"/>
      </c>
      <c r="T36" s="6">
        <f t="shared" si="1"/>
      </c>
      <c r="X36" s="6">
        <f t="shared" si="2"/>
      </c>
      <c r="AB36" s="6">
        <f t="shared" si="3"/>
      </c>
      <c r="AC36" s="6">
        <f t="shared" si="6"/>
      </c>
    </row>
    <row r="37" spans="2:29" x14ac:dyDescent="0.25">
      <c r="B37">
        <v>3</v>
      </c>
      <c r="C37" t="s">
        <v>160</v>
      </c>
      <c r="D37">
        <v>26</v>
      </c>
      <c r="H37" s="6">
        <f t="shared" si="4"/>
      </c>
      <c r="L37" s="6">
        <f t="shared" si="0"/>
      </c>
      <c r="P37" s="6">
        <f t="shared" si="5"/>
      </c>
      <c r="T37" s="6">
        <f t="shared" si="1"/>
      </c>
      <c r="X37" s="6">
        <f t="shared" si="2"/>
      </c>
      <c r="AB37" s="6">
        <f t="shared" si="3"/>
      </c>
      <c r="AC37" s="6">
        <f t="shared" si="6"/>
      </c>
    </row>
    <row r="38" spans="2:29" x14ac:dyDescent="0.25">
      <c r="B38">
        <v>3</v>
      </c>
      <c r="C38" t="s">
        <v>161</v>
      </c>
      <c r="D38">
        <v>26</v>
      </c>
      <c r="H38" s="6">
        <f t="shared" si="4"/>
      </c>
      <c r="L38" s="6">
        <f t="shared" si="0"/>
      </c>
      <c r="P38" s="6">
        <f t="shared" si="5"/>
      </c>
      <c r="T38" s="6">
        <f t="shared" si="1"/>
      </c>
      <c r="X38" s="6">
        <f t="shared" si="2"/>
      </c>
      <c r="AB38" s="6">
        <f t="shared" si="3"/>
      </c>
      <c r="AC38" s="6">
        <f t="shared" si="6"/>
      </c>
    </row>
    <row r="39" spans="2:29" x14ac:dyDescent="0.25">
      <c r="B39">
        <v>3</v>
      </c>
      <c r="C39" t="s">
        <v>162</v>
      </c>
      <c r="D39">
        <v>27</v>
      </c>
      <c r="H39" s="6">
        <f t="shared" si="4"/>
      </c>
      <c r="L39" s="6">
        <f t="shared" si="0"/>
      </c>
      <c r="P39" s="6">
        <f t="shared" si="5"/>
      </c>
      <c r="T39" s="6">
        <f t="shared" si="1"/>
      </c>
      <c r="X39" s="6">
        <f t="shared" si="2"/>
      </c>
      <c r="AB39" s="6">
        <f t="shared" si="3"/>
      </c>
      <c r="AC39" s="6">
        <f t="shared" si="6"/>
      </c>
    </row>
    <row r="40" spans="2:29" x14ac:dyDescent="0.25">
      <c r="B40">
        <v>3</v>
      </c>
      <c r="C40" t="s">
        <v>163</v>
      </c>
      <c r="D40">
        <v>29</v>
      </c>
      <c r="H40" s="6">
        <f t="shared" si="4"/>
      </c>
      <c r="L40" s="6">
        <f t="shared" si="0"/>
      </c>
      <c r="P40" s="6">
        <f t="shared" si="5"/>
      </c>
      <c r="T40" s="6">
        <f t="shared" si="1"/>
      </c>
      <c r="X40" s="6">
        <f t="shared" si="2"/>
      </c>
      <c r="AB40" s="6">
        <f t="shared" si="3"/>
      </c>
      <c r="AC40" s="6">
        <f t="shared" si="6"/>
      </c>
    </row>
    <row r="41" spans="2:29" x14ac:dyDescent="0.25">
      <c r="B41">
        <v>3</v>
      </c>
      <c r="C41" t="s">
        <v>164</v>
      </c>
      <c r="D41">
        <v>25</v>
      </c>
      <c r="H41" s="6">
        <f t="shared" si="4"/>
      </c>
      <c r="L41" s="6">
        <f t="shared" si="0"/>
      </c>
      <c r="P41" s="6">
        <f t="shared" si="5"/>
      </c>
      <c r="T41" s="6">
        <f t="shared" si="1"/>
      </c>
      <c r="X41" s="6">
        <f t="shared" si="2"/>
      </c>
      <c r="AB41" s="6">
        <f t="shared" si="3"/>
      </c>
      <c r="AC41" s="6">
        <f t="shared" si="6"/>
      </c>
    </row>
    <row r="42" spans="2:29" x14ac:dyDescent="0.25">
      <c r="B42">
        <v>3</v>
      </c>
      <c r="C42" t="s">
        <v>165</v>
      </c>
      <c r="D42">
        <v>24</v>
      </c>
      <c r="H42" s="6">
        <f t="shared" si="4"/>
      </c>
      <c r="L42" s="6">
        <f t="shared" si="0"/>
      </c>
      <c r="P42" s="6">
        <f t="shared" si="5"/>
      </c>
      <c r="T42" s="6">
        <f t="shared" si="1"/>
      </c>
      <c r="X42" s="6">
        <f t="shared" si="2"/>
      </c>
      <c r="AB42" s="6">
        <f t="shared" si="3"/>
      </c>
      <c r="AC42" s="6">
        <f t="shared" si="6"/>
      </c>
    </row>
    <row r="43" spans="2:29" x14ac:dyDescent="0.25">
      <c r="B43">
        <v>3</v>
      </c>
      <c r="C43" t="s">
        <v>166</v>
      </c>
      <c r="D43">
        <v>24</v>
      </c>
      <c r="H43" s="6">
        <f t="shared" si="4"/>
      </c>
      <c r="L43" s="6">
        <f t="shared" si="0"/>
      </c>
      <c r="P43" s="6">
        <f t="shared" si="5"/>
      </c>
      <c r="T43" s="6">
        <f t="shared" si="1"/>
      </c>
      <c r="X43" s="6">
        <f t="shared" si="2"/>
      </c>
      <c r="AB43" s="6">
        <f t="shared" si="3"/>
      </c>
      <c r="AC43" s="6">
        <f t="shared" si="6"/>
      </c>
    </row>
    <row r="44" spans="2:29" x14ac:dyDescent="0.25">
      <c r="B44">
        <v>3</v>
      </c>
      <c r="C44" t="s">
        <v>167</v>
      </c>
      <c r="D44">
        <v>24</v>
      </c>
      <c r="H44" s="6">
        <f t="shared" si="4"/>
      </c>
      <c r="L44" s="6">
        <f t="shared" si="0"/>
      </c>
      <c r="P44" s="6">
        <f t="shared" si="5"/>
      </c>
      <c r="T44" s="6">
        <f t="shared" si="1"/>
      </c>
      <c r="X44" s="6">
        <f t="shared" si="2"/>
      </c>
      <c r="AB44" s="6">
        <f t="shared" si="3"/>
      </c>
      <c r="AC44" s="6">
        <f t="shared" si="6"/>
      </c>
    </row>
    <row r="45" spans="2:29" x14ac:dyDescent="0.25">
      <c r="B45">
        <v>3</v>
      </c>
      <c r="C45" t="s">
        <v>168</v>
      </c>
      <c r="D45">
        <v>25</v>
      </c>
      <c r="H45" s="6">
        <f t="shared" si="4"/>
      </c>
      <c r="L45" s="6">
        <f t="shared" si="0"/>
      </c>
      <c r="P45" s="6">
        <f t="shared" si="5"/>
      </c>
      <c r="T45" s="6">
        <f t="shared" si="1"/>
      </c>
      <c r="X45" s="6">
        <f t="shared" si="2"/>
      </c>
      <c r="AB45" s="6">
        <f t="shared" si="3"/>
      </c>
      <c r="AC45" s="6">
        <f t="shared" si="6"/>
      </c>
    </row>
    <row r="46" spans="2:29" x14ac:dyDescent="0.25">
      <c r="B46">
        <v>4</v>
      </c>
      <c r="C46" t="s">
        <v>169</v>
      </c>
      <c r="D46">
        <v>23</v>
      </c>
      <c r="H46" s="6">
        <f t="shared" si="4"/>
      </c>
      <c r="L46" s="6">
        <f t="shared" si="0"/>
      </c>
      <c r="P46" s="6">
        <f t="shared" si="5"/>
      </c>
      <c r="T46" s="6">
        <f t="shared" si="1"/>
      </c>
      <c r="X46" s="6">
        <f t="shared" si="2"/>
      </c>
      <c r="AB46" s="6">
        <f t="shared" si="3"/>
      </c>
      <c r="AC46" s="6">
        <f t="shared" si="6"/>
      </c>
    </row>
    <row r="47" spans="2:29" x14ac:dyDescent="0.25">
      <c r="B47">
        <v>4</v>
      </c>
      <c r="C47" t="s">
        <v>170</v>
      </c>
      <c r="D47">
        <v>18</v>
      </c>
      <c r="H47" s="6">
        <f t="shared" si="4"/>
      </c>
      <c r="L47" s="6">
        <f t="shared" si="0"/>
      </c>
      <c r="P47" s="6">
        <f t="shared" si="5"/>
      </c>
      <c r="T47" s="6">
        <f t="shared" si="1"/>
      </c>
      <c r="X47" s="6">
        <f t="shared" si="2"/>
      </c>
      <c r="AB47" s="6">
        <f t="shared" si="3"/>
      </c>
      <c r="AC47" s="6">
        <f t="shared" si="6"/>
      </c>
    </row>
    <row r="48" spans="2:29" x14ac:dyDescent="0.25">
      <c r="B48">
        <v>4</v>
      </c>
      <c r="C48" t="s">
        <v>171</v>
      </c>
      <c r="D48">
        <v>23</v>
      </c>
      <c r="H48" s="6">
        <f t="shared" si="4"/>
      </c>
      <c r="L48" s="6">
        <f t="shared" si="0"/>
      </c>
      <c r="P48" s="6">
        <f t="shared" si="5"/>
      </c>
      <c r="T48" s="6">
        <f t="shared" si="1"/>
      </c>
      <c r="X48" s="6">
        <f t="shared" si="2"/>
      </c>
      <c r="AB48" s="6">
        <f t="shared" si="3"/>
      </c>
      <c r="AC48" s="6">
        <f t="shared" si="6"/>
      </c>
    </row>
    <row r="49" spans="2:29" x14ac:dyDescent="0.25">
      <c r="B49">
        <v>4</v>
      </c>
      <c r="C49" t="s">
        <v>172</v>
      </c>
      <c r="D49">
        <v>30</v>
      </c>
      <c r="H49" s="6">
        <f t="shared" si="4"/>
      </c>
      <c r="L49" s="6">
        <f t="shared" si="0"/>
      </c>
      <c r="P49" s="6">
        <f t="shared" si="5"/>
      </c>
      <c r="T49" s="6">
        <f t="shared" si="1"/>
      </c>
      <c r="X49" s="6">
        <f t="shared" si="2"/>
      </c>
      <c r="AB49" s="6">
        <f t="shared" si="3"/>
      </c>
      <c r="AC49" s="6">
        <f t="shared" si="6"/>
      </c>
    </row>
    <row r="50" spans="3:29" x14ac:dyDescent="0.25">
      <c r="C50" s="7" t="s">
        <v>52</v>
      </c>
      <c r="D50" s="7">
        <f>SUM(D4:D49)</f>
        <v>1086</v>
      </c>
      <c r="E50">
        <f>SUM(E4:E49)</f>
      </c>
      <c r="F50">
        <f>SUM(F4:F49)</f>
      </c>
      <c r="G50">
        <f>SUM(G4:G49)</f>
        <v>99</v>
      </c>
      <c r="H50" s="6">
        <f>IFERROR(AVERAGE(E50:G50)/D50,"")</f>
        <v>0.0912</v>
      </c>
      <c r="I50">
        <f>SUM(I4:I49)</f>
      </c>
      <c r="J50">
        <f>SUM(J4:J49)</f>
      </c>
      <c r="K50">
        <f>SUM(K4:K49)</f>
      </c>
      <c r="L50" s="6">
        <f t="shared" si="0"/>
      </c>
      <c r="M50">
        <f>SUM(M4:M49)</f>
      </c>
      <c r="N50">
        <f>SUM(N4:N49)</f>
        <v>26</v>
      </c>
      <c r="O50">
        <f>SUM(O4:O49)</f>
      </c>
      <c r="P50" s="6">
        <f>IFERROR(AVERAGE(M50:O50)/D50,"")</f>
        <v>0.0239</v>
      </c>
      <c r="Q50">
        <f>SUM(Q4:Q49)</f>
      </c>
      <c r="R50">
        <f>SUM(R4:R49)</f>
      </c>
      <c r="S50">
        <f>SUM(S4:S49)</f>
      </c>
      <c r="T50" s="6">
        <f t="shared" si="1"/>
      </c>
      <c r="U50">
        <f>SUM(U4:U49)</f>
      </c>
      <c r="V50">
        <f>SUM(V4:V49)</f>
      </c>
      <c r="W50">
        <f>SUM(W4:W49)</f>
      </c>
      <c r="X50" s="6">
        <f t="shared" si="2"/>
      </c>
      <c r="Y50">
        <f>SUM(Y4:Y49)</f>
      </c>
      <c r="Z50">
        <f>SUM(Z4:Z49)</f>
      </c>
      <c r="AA50">
        <f>SUM(AA4:AA49)</f>
      </c>
      <c r="AB50" s="6">
        <f t="shared" si="3"/>
      </c>
      <c r="AC50" s="6">
        <f>IFERROR(AVERAGE(H50,L50,P50,T50,X50,AB50),"")</f>
        <v>0.0576</v>
      </c>
    </row>
  </sheetData>
  <mergeCells count="7">
    <mergeCell ref="A1:AC1"/>
    <mergeCell ref="E2:G2"/>
    <mergeCell ref="I2:K2"/>
    <mergeCell ref="M2:O2"/>
    <mergeCell ref="Q2:S2"/>
    <mergeCell ref="U2:W2"/>
    <mergeCell ref="Y2:AA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workbookViewId="0" zoomScale="55" zoomScaleNormal="55">
      <pane xSplit="4" ySplit="3" topLeftCell="E4" activePane="bottomRight" state="frozen"/>
      <selection pane="bottomRight" activeCell="D52" sqref="D52"/>
    </sheetView>
  </sheetViews>
  <sheetFormatPr defaultRowHeight="15" outlineLevelRow="0" outlineLevelCol="0" x14ac:dyDescent="55"/>
  <cols>
    <col min="1" max="1" width="24" customWidth="1"/>
    <col min="2" max="2" width="8" customWidth="1"/>
    <col min="3" max="3" width="26" customWidth="1"/>
    <col min="4" max="4" width="12" customWidth="1"/>
    <col min="5" max="7" width="10" customWidth="1"/>
    <col min="8" max="8" width="14" customWidth="1"/>
    <col min="9" max="11" width="10" customWidth="1"/>
    <col min="12" max="12" width="14" customWidth="1"/>
    <col min="13" max="15" width="10" customWidth="1"/>
    <col min="16" max="16" width="14" customWidth="1"/>
    <col min="17" max="19" width="10" customWidth="1"/>
    <col min="20" max="20" width="14" customWidth="1"/>
    <col min="21" max="23" width="10" customWidth="1"/>
    <col min="24" max="24" width="14" customWidth="1"/>
    <col min="25" max="27" width="10" customWidth="1"/>
    <col min="28" max="29" width="14" customWidth="1"/>
  </cols>
  <sheetData>
    <row r="1" ht="32.1" customHeight="1" spans="1:29" x14ac:dyDescent="0.25">
      <c r="A1" s="1" t="s">
        <v>173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1.95" customHeight="1" spans="5:27" x14ac:dyDescent="0.25">
      <c r="E2" s="2" t="s">
        <v>1</v>
      </c>
      <c r="F2" s="2"/>
      <c r="G2" s="2"/>
      <c r="I2" s="2" t="s">
        <v>2</v>
      </c>
      <c r="J2" s="2"/>
      <c r="K2" s="2"/>
      <c r="M2" s="2" t="s">
        <v>3</v>
      </c>
      <c r="N2" s="2"/>
      <c r="O2" s="2"/>
      <c r="Q2" s="2" t="s">
        <v>4</v>
      </c>
      <c r="R2" s="2"/>
      <c r="S2" s="2"/>
      <c r="U2" s="2" t="s">
        <v>5</v>
      </c>
      <c r="V2" s="2"/>
      <c r="W2" s="2"/>
      <c r="Y2" s="2" t="s">
        <v>6</v>
      </c>
      <c r="Z2" s="2"/>
      <c r="AA2" s="2"/>
    </row>
    <row r="3" ht="27.95" customHeight="1" spans="1:29" x14ac:dyDescent="0.25">
      <c r="A3" s="3" t="s">
        <v>7</v>
      </c>
      <c r="B3" s="3" t="s">
        <v>8</v>
      </c>
      <c r="C3" s="3" t="s">
        <v>9</v>
      </c>
      <c r="D3" s="3" t="s">
        <v>10</v>
      </c>
      <c r="E3" s="2" t="s">
        <v>11</v>
      </c>
      <c r="H3" s="4" t="s">
        <v>12</v>
      </c>
      <c r="I3" s="2" t="s">
        <v>13</v>
      </c>
      <c r="L3" s="4" t="s">
        <v>12</v>
      </c>
      <c r="M3" s="2" t="s">
        <v>14</v>
      </c>
      <c r="P3" s="4" t="s">
        <v>12</v>
      </c>
      <c r="Q3" s="2" t="s">
        <v>15</v>
      </c>
      <c r="T3" s="4" t="s">
        <v>12</v>
      </c>
      <c r="U3" s="2" t="s">
        <v>16</v>
      </c>
      <c r="X3" s="4" t="s">
        <v>12</v>
      </c>
      <c r="Y3" s="2" t="s">
        <v>17</v>
      </c>
      <c r="AB3" s="4" t="s">
        <v>12</v>
      </c>
      <c r="AC3" s="3" t="s">
        <v>18</v>
      </c>
    </row>
    <row r="4" spans="1:29" x14ac:dyDescent="0.25">
      <c r="A4" t="s">
        <v>174</v>
      </c>
      <c r="B4">
        <v>1</v>
      </c>
      <c r="C4" t="s">
        <v>175</v>
      </c>
      <c r="D4">
        <v>24</v>
      </c>
      <c r="H4" s="6">
        <f t="shared" ref="H4:H35" si="0">IFERROR(AVERAGE(E4:G4)/D4,"")</f>
      </c>
      <c r="L4" s="6">
        <f t="shared" ref="L4:L35" si="1">IFERROR(AVERAGE(I4:K4)/D4,"")</f>
      </c>
      <c r="M4" s="5"/>
      <c r="P4" s="6">
        <f t="shared" ref="P4:P35" si="2">IFERROR(AVERAGE(M4:O4)/D4,"")</f>
      </c>
      <c r="Q4" s="5"/>
      <c r="R4" s="5"/>
      <c r="T4" s="6">
        <f t="shared" ref="T4:T35" si="3">IFERROR(AVERAGE(Q4:S4)/D4,"")</f>
      </c>
      <c r="X4" s="6">
        <f t="shared" ref="X4:X35" si="4">IFERROR(AVERAGE(U4:W4)/D4,"")</f>
      </c>
      <c r="AB4" s="6">
        <f t="shared" ref="AB4:AB35" si="5">IFERROR(AVERAGE(Y4:AA4)/D4,"")</f>
      </c>
      <c r="AC4" s="6">
        <f t="shared" ref="AC4:AC35" si="6">IFERROR(AVERAGE(H4,L4,P4,T4,X4,AB4),"")</f>
      </c>
    </row>
    <row r="5" spans="2:29" x14ac:dyDescent="0.25">
      <c r="B5">
        <v>1</v>
      </c>
      <c r="C5" t="s">
        <v>176</v>
      </c>
      <c r="D5">
        <v>22</v>
      </c>
      <c r="H5" s="6">
        <f t="shared" si="0"/>
      </c>
      <c r="L5" s="6">
        <f t="shared" si="1"/>
      </c>
      <c r="M5" s="5"/>
      <c r="P5" s="6">
        <f t="shared" si="2"/>
      </c>
      <c r="Q5" s="5"/>
      <c r="R5" s="5"/>
      <c r="T5" s="6">
        <f t="shared" si="3"/>
      </c>
      <c r="X5" s="6">
        <f t="shared" si="4"/>
      </c>
      <c r="AB5" s="6">
        <f t="shared" si="5"/>
      </c>
      <c r="AC5" s="6">
        <f t="shared" si="6"/>
      </c>
    </row>
    <row r="6" spans="2:29" x14ac:dyDescent="0.25">
      <c r="B6">
        <v>1</v>
      </c>
      <c r="C6" t="s">
        <v>177</v>
      </c>
      <c r="D6">
        <v>20</v>
      </c>
      <c r="H6" s="6">
        <f t="shared" si="0"/>
      </c>
      <c r="L6" s="6">
        <f t="shared" si="1"/>
      </c>
      <c r="M6" s="5"/>
      <c r="P6" s="6">
        <f t="shared" si="2"/>
      </c>
      <c r="Q6" s="5"/>
      <c r="R6" s="5"/>
      <c r="T6" s="6">
        <f t="shared" si="3"/>
      </c>
      <c r="X6" s="6">
        <f t="shared" si="4"/>
      </c>
      <c r="AB6" s="6">
        <f t="shared" si="5"/>
      </c>
      <c r="AC6" s="6">
        <f t="shared" si="6"/>
      </c>
    </row>
    <row r="7" spans="2:29" x14ac:dyDescent="0.25">
      <c r="B7">
        <v>1</v>
      </c>
      <c r="C7" t="s">
        <v>178</v>
      </c>
      <c r="D7">
        <v>20</v>
      </c>
      <c r="H7" s="6">
        <f t="shared" si="0"/>
      </c>
      <c r="L7" s="6">
        <f t="shared" si="1"/>
      </c>
      <c r="M7" s="5"/>
      <c r="P7" s="6">
        <f t="shared" si="2"/>
      </c>
      <c r="Q7" s="5"/>
      <c r="R7" s="5"/>
      <c r="T7" s="6">
        <f t="shared" si="3"/>
      </c>
      <c r="X7" s="6">
        <f t="shared" si="4"/>
      </c>
      <c r="AB7" s="6">
        <f t="shared" si="5"/>
      </c>
      <c r="AC7" s="6">
        <f t="shared" si="6"/>
      </c>
    </row>
    <row r="8" spans="2:29" x14ac:dyDescent="0.25">
      <c r="B8">
        <v>1</v>
      </c>
      <c r="C8" t="s">
        <v>179</v>
      </c>
      <c r="D8">
        <v>29</v>
      </c>
      <c r="H8" s="6">
        <f t="shared" si="0"/>
      </c>
      <c r="L8" s="6">
        <f t="shared" si="1"/>
      </c>
      <c r="M8" s="5"/>
      <c r="P8" s="6">
        <f t="shared" si="2"/>
      </c>
      <c r="Q8" s="5"/>
      <c r="R8" s="5"/>
      <c r="T8" s="6">
        <f t="shared" si="3"/>
      </c>
      <c r="X8" s="6">
        <f t="shared" si="4"/>
      </c>
      <c r="AB8" s="6">
        <f t="shared" si="5"/>
      </c>
      <c r="AC8" s="6">
        <f t="shared" si="6"/>
      </c>
    </row>
    <row r="9" spans="2:29" x14ac:dyDescent="0.25">
      <c r="B9">
        <v>1</v>
      </c>
      <c r="C9" t="s">
        <v>180</v>
      </c>
      <c r="D9">
        <v>23</v>
      </c>
      <c r="H9" s="6">
        <f t="shared" si="0"/>
      </c>
      <c r="L9" s="6">
        <f t="shared" si="1"/>
      </c>
      <c r="M9" s="5"/>
      <c r="P9" s="6">
        <f t="shared" si="2"/>
      </c>
      <c r="Q9" s="5"/>
      <c r="R9" s="5"/>
      <c r="T9" s="6">
        <f t="shared" si="3"/>
      </c>
      <c r="X9" s="6">
        <f t="shared" si="4"/>
      </c>
      <c r="AB9" s="6">
        <f t="shared" si="5"/>
      </c>
      <c r="AC9" s="6">
        <f t="shared" si="6"/>
      </c>
    </row>
    <row r="10" spans="2:29" x14ac:dyDescent="0.25">
      <c r="B10">
        <v>2</v>
      </c>
      <c r="C10" t="s">
        <v>181</v>
      </c>
      <c r="D10">
        <v>23</v>
      </c>
      <c r="H10" s="6">
        <f t="shared" si="0"/>
      </c>
      <c r="L10" s="6">
        <f t="shared" si="1"/>
      </c>
      <c r="M10" s="5"/>
      <c r="P10" s="6">
        <f t="shared" si="2"/>
      </c>
      <c r="Q10" s="5"/>
      <c r="R10" s="5"/>
      <c r="T10" s="6">
        <f t="shared" si="3"/>
      </c>
      <c r="X10" s="6">
        <f t="shared" si="4"/>
      </c>
      <c r="AB10" s="6">
        <f t="shared" si="5"/>
      </c>
      <c r="AC10" s="6">
        <f t="shared" si="6"/>
      </c>
    </row>
    <row r="11" spans="2:29" x14ac:dyDescent="0.25">
      <c r="B11">
        <v>2</v>
      </c>
      <c r="C11" t="s">
        <v>182</v>
      </c>
      <c r="D11">
        <v>30</v>
      </c>
      <c r="H11" s="6">
        <f t="shared" si="0"/>
      </c>
      <c r="L11" s="6">
        <f t="shared" si="1"/>
      </c>
      <c r="M11" s="5"/>
      <c r="P11" s="6">
        <f t="shared" si="2"/>
      </c>
      <c r="Q11" s="5"/>
      <c r="R11" s="5"/>
      <c r="T11" s="6">
        <f t="shared" si="3"/>
      </c>
      <c r="X11" s="6">
        <f t="shared" si="4"/>
      </c>
      <c r="AB11" s="6">
        <f t="shared" si="5"/>
      </c>
      <c r="AC11" s="6">
        <f t="shared" si="6"/>
      </c>
    </row>
    <row r="12" spans="2:29" x14ac:dyDescent="0.25">
      <c r="B12">
        <v>2</v>
      </c>
      <c r="C12" t="s">
        <v>183</v>
      </c>
      <c r="D12">
        <v>30</v>
      </c>
      <c r="H12" s="6">
        <f t="shared" si="0"/>
      </c>
      <c r="L12" s="6">
        <f t="shared" si="1"/>
      </c>
      <c r="M12" s="5"/>
      <c r="P12" s="6">
        <f t="shared" si="2"/>
      </c>
      <c r="Q12" s="5"/>
      <c r="R12" s="5"/>
      <c r="T12" s="6">
        <f t="shared" si="3"/>
      </c>
      <c r="X12" s="6">
        <f t="shared" si="4"/>
      </c>
      <c r="AB12" s="6">
        <f t="shared" si="5"/>
      </c>
      <c r="AC12" s="6">
        <f t="shared" si="6"/>
      </c>
    </row>
    <row r="13" spans="2:29" x14ac:dyDescent="0.25">
      <c r="B13">
        <v>2</v>
      </c>
      <c r="C13" t="s">
        <v>184</v>
      </c>
      <c r="D13">
        <v>29</v>
      </c>
      <c r="H13" s="6">
        <f t="shared" si="0"/>
      </c>
      <c r="L13" s="6">
        <f t="shared" si="1"/>
      </c>
      <c r="M13" s="5"/>
      <c r="P13" s="6">
        <f t="shared" si="2"/>
      </c>
      <c r="Q13" s="5"/>
      <c r="R13" s="5"/>
      <c r="T13" s="6">
        <f t="shared" si="3"/>
      </c>
      <c r="X13" s="6">
        <f t="shared" si="4"/>
      </c>
      <c r="AB13" s="6">
        <f t="shared" si="5"/>
      </c>
      <c r="AC13" s="6">
        <f t="shared" si="6"/>
      </c>
    </row>
    <row r="14" spans="2:29" x14ac:dyDescent="0.25">
      <c r="B14">
        <v>2</v>
      </c>
      <c r="C14" t="s">
        <v>185</v>
      </c>
      <c r="D14">
        <v>23</v>
      </c>
      <c r="H14" s="6">
        <f t="shared" si="0"/>
      </c>
      <c r="L14" s="6">
        <f t="shared" si="1"/>
      </c>
      <c r="M14" s="5"/>
      <c r="P14" s="6">
        <f t="shared" si="2"/>
      </c>
      <c r="Q14" s="5"/>
      <c r="R14" s="5"/>
      <c r="T14" s="6">
        <f t="shared" si="3"/>
      </c>
      <c r="X14" s="6">
        <f t="shared" si="4"/>
      </c>
      <c r="AB14" s="6">
        <f t="shared" si="5"/>
      </c>
      <c r="AC14" s="6">
        <f t="shared" si="6"/>
      </c>
    </row>
    <row r="15" spans="2:29" x14ac:dyDescent="0.25">
      <c r="B15">
        <v>2</v>
      </c>
      <c r="C15" t="s">
        <v>186</v>
      </c>
      <c r="D15">
        <v>19</v>
      </c>
      <c r="H15" s="6">
        <f t="shared" si="0"/>
      </c>
      <c r="L15" s="6">
        <f t="shared" si="1"/>
      </c>
      <c r="M15" s="5"/>
      <c r="P15" s="6">
        <f t="shared" si="2"/>
      </c>
      <c r="Q15" s="5"/>
      <c r="R15" s="5"/>
      <c r="T15" s="6">
        <f t="shared" si="3"/>
      </c>
      <c r="X15" s="6">
        <f t="shared" si="4"/>
      </c>
      <c r="AB15" s="6">
        <f t="shared" si="5"/>
      </c>
      <c r="AC15" s="6">
        <f t="shared" si="6"/>
      </c>
    </row>
    <row r="16" spans="2:29" x14ac:dyDescent="0.25">
      <c r="B16">
        <v>2</v>
      </c>
      <c r="C16" t="s">
        <v>187</v>
      </c>
      <c r="D16">
        <v>31</v>
      </c>
      <c r="H16" s="6">
        <f t="shared" si="0"/>
      </c>
      <c r="L16" s="6">
        <f t="shared" si="1"/>
      </c>
      <c r="M16" s="5"/>
      <c r="P16" s="6">
        <f t="shared" si="2"/>
      </c>
      <c r="Q16" s="5"/>
      <c r="R16" s="5"/>
      <c r="T16" s="6">
        <f t="shared" si="3"/>
      </c>
      <c r="X16" s="6">
        <f t="shared" si="4"/>
      </c>
      <c r="AB16" s="6">
        <f t="shared" si="5"/>
      </c>
      <c r="AC16" s="6">
        <f t="shared" si="6"/>
      </c>
    </row>
    <row r="17" spans="2:29" x14ac:dyDescent="0.25">
      <c r="B17">
        <v>2</v>
      </c>
      <c r="C17" t="s">
        <v>188</v>
      </c>
      <c r="D17">
        <v>32</v>
      </c>
      <c r="H17" s="6">
        <f t="shared" si="0"/>
      </c>
      <c r="L17" s="6">
        <f t="shared" si="1"/>
      </c>
      <c r="M17" s="5"/>
      <c r="P17" s="6">
        <f t="shared" si="2"/>
      </c>
      <c r="Q17" s="5"/>
      <c r="R17" s="5"/>
      <c r="T17" s="6">
        <f t="shared" si="3"/>
      </c>
      <c r="X17" s="6">
        <f t="shared" si="4"/>
      </c>
      <c r="AB17" s="6">
        <f t="shared" si="5"/>
      </c>
      <c r="AC17" s="6">
        <f t="shared" si="6"/>
      </c>
    </row>
    <row r="18" spans="2:29" x14ac:dyDescent="0.25">
      <c r="B18">
        <v>2</v>
      </c>
      <c r="C18" t="s">
        <v>189</v>
      </c>
      <c r="D18">
        <v>28</v>
      </c>
      <c r="H18" s="6">
        <f t="shared" si="0"/>
      </c>
      <c r="L18" s="6">
        <f t="shared" si="1"/>
      </c>
      <c r="M18" s="5"/>
      <c r="P18" s="6">
        <f t="shared" si="2"/>
      </c>
      <c r="Q18" s="5"/>
      <c r="R18" s="5"/>
      <c r="T18" s="6">
        <f t="shared" si="3"/>
      </c>
      <c r="X18" s="6">
        <f t="shared" si="4"/>
      </c>
      <c r="AB18" s="6">
        <f t="shared" si="5"/>
      </c>
      <c r="AC18" s="6">
        <f t="shared" si="6"/>
      </c>
    </row>
    <row r="19" spans="2:29" x14ac:dyDescent="0.25">
      <c r="B19">
        <v>3</v>
      </c>
      <c r="C19" t="s">
        <v>190</v>
      </c>
      <c r="D19">
        <v>28</v>
      </c>
      <c r="H19" s="6">
        <f t="shared" si="0"/>
      </c>
      <c r="L19" s="6">
        <f t="shared" si="1"/>
      </c>
      <c r="M19" s="5"/>
      <c r="P19" s="6">
        <f t="shared" si="2"/>
      </c>
      <c r="Q19" s="5"/>
      <c r="R19" s="5"/>
      <c r="T19" s="6">
        <f t="shared" si="3"/>
      </c>
      <c r="X19" s="6">
        <f t="shared" si="4"/>
      </c>
      <c r="AB19" s="6">
        <f t="shared" si="5"/>
      </c>
      <c r="AC19" s="6">
        <f t="shared" si="6"/>
      </c>
    </row>
    <row r="20" spans="2:29" x14ac:dyDescent="0.25">
      <c r="B20">
        <v>3</v>
      </c>
      <c r="C20" t="s">
        <v>191</v>
      </c>
      <c r="D20">
        <v>26</v>
      </c>
      <c r="H20" s="6">
        <f t="shared" si="0"/>
      </c>
      <c r="L20" s="6">
        <f t="shared" si="1"/>
      </c>
      <c r="M20" s="5"/>
      <c r="P20" s="6">
        <f t="shared" si="2"/>
      </c>
      <c r="Q20" s="5"/>
      <c r="R20" s="5"/>
      <c r="T20" s="6">
        <f t="shared" si="3"/>
      </c>
      <c r="X20" s="6">
        <f t="shared" si="4"/>
      </c>
      <c r="AB20" s="6">
        <f t="shared" si="5"/>
      </c>
      <c r="AC20" s="6">
        <f t="shared" si="6"/>
      </c>
    </row>
    <row r="21" spans="2:29" x14ac:dyDescent="0.25">
      <c r="B21">
        <v>3</v>
      </c>
      <c r="C21" t="s">
        <v>192</v>
      </c>
      <c r="D21">
        <v>29</v>
      </c>
      <c r="H21" s="6">
        <f t="shared" si="0"/>
      </c>
      <c r="L21" s="6">
        <f t="shared" si="1"/>
      </c>
      <c r="M21" s="5"/>
      <c r="P21" s="6">
        <f t="shared" si="2"/>
      </c>
      <c r="Q21" s="5"/>
      <c r="R21" s="5"/>
      <c r="T21" s="6">
        <f t="shared" si="3"/>
      </c>
      <c r="X21" s="6">
        <f t="shared" si="4"/>
      </c>
      <c r="AB21" s="6">
        <f t="shared" si="5"/>
      </c>
      <c r="AC21" s="6">
        <f t="shared" si="6"/>
      </c>
    </row>
    <row r="22" spans="2:29" x14ac:dyDescent="0.25">
      <c r="B22">
        <v>3</v>
      </c>
      <c r="C22" t="s">
        <v>193</v>
      </c>
      <c r="D22">
        <v>28</v>
      </c>
      <c r="H22" s="6">
        <f t="shared" si="0"/>
      </c>
      <c r="L22" s="6">
        <f t="shared" si="1"/>
      </c>
      <c r="M22" s="5"/>
      <c r="P22" s="6">
        <f t="shared" si="2"/>
      </c>
      <c r="Q22" s="5"/>
      <c r="R22" s="5"/>
      <c r="T22" s="6">
        <f t="shared" si="3"/>
      </c>
      <c r="X22" s="6">
        <f t="shared" si="4"/>
      </c>
      <c r="AB22" s="6">
        <f t="shared" si="5"/>
      </c>
      <c r="AC22" s="6">
        <f t="shared" si="6"/>
      </c>
    </row>
    <row r="23" spans="2:29" x14ac:dyDescent="0.25">
      <c r="B23">
        <v>3</v>
      </c>
      <c r="C23" t="s">
        <v>194</v>
      </c>
      <c r="D23">
        <v>29</v>
      </c>
      <c r="H23" s="6">
        <f t="shared" si="0"/>
      </c>
      <c r="L23" s="6">
        <f t="shared" si="1"/>
      </c>
      <c r="M23" s="5"/>
      <c r="P23" s="6">
        <f t="shared" si="2"/>
      </c>
      <c r="Q23" s="5"/>
      <c r="R23" s="5"/>
      <c r="T23" s="6">
        <f t="shared" si="3"/>
      </c>
      <c r="X23" s="6">
        <f t="shared" si="4"/>
      </c>
      <c r="AB23" s="6">
        <f t="shared" si="5"/>
      </c>
      <c r="AC23" s="6">
        <f t="shared" si="6"/>
      </c>
    </row>
    <row r="24" spans="2:29" x14ac:dyDescent="0.25">
      <c r="B24">
        <v>3</v>
      </c>
      <c r="C24" t="s">
        <v>195</v>
      </c>
      <c r="D24">
        <v>24</v>
      </c>
      <c r="H24" s="6">
        <f t="shared" si="0"/>
      </c>
      <c r="L24" s="6">
        <f t="shared" si="1"/>
      </c>
      <c r="M24" s="5"/>
      <c r="P24" s="6">
        <f t="shared" si="2"/>
      </c>
      <c r="Q24" s="5"/>
      <c r="R24" s="5"/>
      <c r="T24" s="6">
        <f t="shared" si="3"/>
      </c>
      <c r="X24" s="6">
        <f t="shared" si="4"/>
      </c>
      <c r="AB24" s="6">
        <f t="shared" si="5"/>
      </c>
      <c r="AC24" s="6">
        <f t="shared" si="6"/>
      </c>
    </row>
    <row r="25" spans="2:29" x14ac:dyDescent="0.25">
      <c r="B25">
        <v>3</v>
      </c>
      <c r="C25" t="s">
        <v>196</v>
      </c>
      <c r="D25">
        <v>26</v>
      </c>
      <c r="H25" s="6">
        <f t="shared" si="0"/>
      </c>
      <c r="L25" s="6">
        <f t="shared" si="1"/>
      </c>
      <c r="M25" s="5"/>
      <c r="P25" s="6">
        <f t="shared" si="2"/>
      </c>
      <c r="Q25" s="5"/>
      <c r="R25" s="5"/>
      <c r="T25" s="6">
        <f t="shared" si="3"/>
      </c>
      <c r="X25" s="6">
        <f t="shared" si="4"/>
      </c>
      <c r="AB25" s="6">
        <f t="shared" si="5"/>
      </c>
      <c r="AC25" s="6">
        <f t="shared" si="6"/>
      </c>
    </row>
    <row r="26" spans="2:29" x14ac:dyDescent="0.25">
      <c r="B26">
        <v>3</v>
      </c>
      <c r="C26" t="s">
        <v>197</v>
      </c>
      <c r="D26">
        <v>27</v>
      </c>
      <c r="H26" s="6">
        <f t="shared" si="0"/>
      </c>
      <c r="L26" s="6">
        <f t="shared" si="1"/>
      </c>
      <c r="M26" s="5"/>
      <c r="P26" s="6">
        <f t="shared" si="2"/>
      </c>
      <c r="Q26" s="5"/>
      <c r="R26" s="5"/>
      <c r="T26" s="6">
        <f t="shared" si="3"/>
      </c>
      <c r="X26" s="6">
        <f t="shared" si="4"/>
      </c>
      <c r="AB26" s="6">
        <f t="shared" si="5"/>
      </c>
      <c r="AC26" s="6">
        <f t="shared" si="6"/>
      </c>
    </row>
    <row r="27" spans="2:29" x14ac:dyDescent="0.25">
      <c r="B27">
        <v>3</v>
      </c>
      <c r="C27" t="s">
        <v>198</v>
      </c>
      <c r="D27">
        <v>29</v>
      </c>
      <c r="H27" s="6">
        <f t="shared" si="0"/>
      </c>
      <c r="L27" s="6">
        <f t="shared" si="1"/>
      </c>
      <c r="M27" s="5"/>
      <c r="P27" s="6">
        <f t="shared" si="2"/>
      </c>
      <c r="Q27" s="5"/>
      <c r="R27" s="5"/>
      <c r="T27" s="6">
        <f t="shared" si="3"/>
      </c>
      <c r="X27" s="6">
        <f t="shared" si="4"/>
      </c>
      <c r="AB27" s="6">
        <f t="shared" si="5"/>
      </c>
      <c r="AC27" s="6">
        <f t="shared" si="6"/>
      </c>
    </row>
    <row r="28" spans="2:29" x14ac:dyDescent="0.25">
      <c r="B28">
        <v>3</v>
      </c>
      <c r="C28" t="s">
        <v>199</v>
      </c>
      <c r="D28">
        <v>27</v>
      </c>
      <c r="H28" s="6">
        <f t="shared" si="0"/>
      </c>
      <c r="L28" s="6">
        <f t="shared" si="1"/>
      </c>
      <c r="M28" s="5"/>
      <c r="P28" s="6">
        <f t="shared" si="2"/>
      </c>
      <c r="Q28" s="5"/>
      <c r="R28" s="5"/>
      <c r="T28" s="6">
        <f t="shared" si="3"/>
      </c>
      <c r="X28" s="6">
        <f t="shared" si="4"/>
      </c>
      <c r="AB28" s="6">
        <f t="shared" si="5"/>
      </c>
      <c r="AC28" s="6">
        <f t="shared" si="6"/>
      </c>
    </row>
    <row r="29" spans="2:29" x14ac:dyDescent="0.25">
      <c r="B29">
        <v>3</v>
      </c>
      <c r="C29" t="s">
        <v>200</v>
      </c>
      <c r="D29">
        <v>28</v>
      </c>
      <c r="H29" s="6">
        <f t="shared" si="0"/>
      </c>
      <c r="L29" s="6">
        <f t="shared" si="1"/>
      </c>
      <c r="M29" s="5"/>
      <c r="P29" s="6">
        <f t="shared" si="2"/>
      </c>
      <c r="Q29" s="5"/>
      <c r="R29" s="5"/>
      <c r="T29" s="6">
        <f t="shared" si="3"/>
      </c>
      <c r="X29" s="6">
        <f t="shared" si="4"/>
      </c>
      <c r="AB29" s="6">
        <f t="shared" si="5"/>
      </c>
      <c r="AC29" s="6">
        <f t="shared" si="6"/>
      </c>
    </row>
    <row r="30" spans="2:29" x14ac:dyDescent="0.25">
      <c r="B30">
        <v>3</v>
      </c>
      <c r="C30" t="s">
        <v>201</v>
      </c>
      <c r="D30">
        <v>27</v>
      </c>
      <c r="H30" s="6">
        <f t="shared" si="0"/>
      </c>
      <c r="L30" s="6">
        <f t="shared" si="1"/>
      </c>
      <c r="M30" s="5"/>
      <c r="P30" s="6">
        <f t="shared" si="2"/>
      </c>
      <c r="Q30" s="5"/>
      <c r="R30" s="5"/>
      <c r="T30" s="6">
        <f t="shared" si="3"/>
      </c>
      <c r="X30" s="6">
        <f t="shared" si="4"/>
      </c>
      <c r="AB30" s="6">
        <f t="shared" si="5"/>
      </c>
      <c r="AC30" s="6">
        <f t="shared" si="6"/>
      </c>
    </row>
    <row r="31" spans="2:29" x14ac:dyDescent="0.25">
      <c r="B31">
        <v>3</v>
      </c>
      <c r="C31" t="s">
        <v>202</v>
      </c>
      <c r="D31">
        <v>17</v>
      </c>
      <c r="H31" s="6">
        <f t="shared" si="0"/>
      </c>
      <c r="L31" s="6">
        <f t="shared" si="1"/>
      </c>
      <c r="M31" s="5"/>
      <c r="P31" s="6">
        <f t="shared" si="2"/>
      </c>
      <c r="Q31" s="5"/>
      <c r="R31" s="5"/>
      <c r="T31" s="6">
        <f t="shared" si="3"/>
      </c>
      <c r="X31" s="6">
        <f t="shared" si="4"/>
      </c>
      <c r="AB31" s="6">
        <f t="shared" si="5"/>
      </c>
      <c r="AC31" s="6">
        <f t="shared" si="6"/>
      </c>
    </row>
    <row r="32" spans="2:29" x14ac:dyDescent="0.25">
      <c r="B32">
        <v>3</v>
      </c>
      <c r="C32" t="s">
        <v>203</v>
      </c>
      <c r="D32">
        <v>19</v>
      </c>
      <c r="H32" s="6">
        <f t="shared" si="0"/>
      </c>
      <c r="L32" s="6">
        <f t="shared" si="1"/>
      </c>
      <c r="M32" s="5"/>
      <c r="P32" s="6">
        <f t="shared" si="2"/>
      </c>
      <c r="Q32" s="5"/>
      <c r="R32" s="5"/>
      <c r="T32" s="6">
        <f t="shared" si="3"/>
      </c>
      <c r="X32" s="6">
        <f t="shared" si="4"/>
      </c>
      <c r="AB32" s="6">
        <f t="shared" si="5"/>
      </c>
      <c r="AC32" s="6">
        <f t="shared" si="6"/>
      </c>
    </row>
    <row r="33" spans="2:29" x14ac:dyDescent="0.25">
      <c r="B33">
        <v>3</v>
      </c>
      <c r="C33" t="s">
        <v>204</v>
      </c>
      <c r="D33">
        <v>15</v>
      </c>
      <c r="H33" s="6">
        <f t="shared" si="0"/>
      </c>
      <c r="L33" s="6">
        <f t="shared" si="1"/>
      </c>
      <c r="M33" s="5"/>
      <c r="P33" s="6">
        <f t="shared" si="2"/>
      </c>
      <c r="Q33" s="5"/>
      <c r="R33" s="5"/>
      <c r="T33" s="6">
        <f t="shared" si="3"/>
      </c>
      <c r="X33" s="6">
        <f t="shared" si="4"/>
      </c>
      <c r="AB33" s="6">
        <f t="shared" si="5"/>
      </c>
      <c r="AC33" s="6">
        <f t="shared" si="6"/>
      </c>
    </row>
    <row r="34" spans="2:29" x14ac:dyDescent="0.25">
      <c r="B34">
        <v>3</v>
      </c>
      <c r="C34" t="s">
        <v>205</v>
      </c>
      <c r="D34">
        <v>23</v>
      </c>
      <c r="H34" s="6">
        <f t="shared" si="0"/>
      </c>
      <c r="L34" s="6">
        <f t="shared" si="1"/>
      </c>
      <c r="M34" s="5"/>
      <c r="P34" s="6">
        <f t="shared" si="2"/>
      </c>
      <c r="Q34" s="5"/>
      <c r="R34" s="5"/>
      <c r="T34" s="6">
        <f t="shared" si="3"/>
      </c>
      <c r="X34" s="6">
        <f t="shared" si="4"/>
      </c>
      <c r="AB34" s="6">
        <f t="shared" si="5"/>
      </c>
      <c r="AC34" s="6">
        <f t="shared" si="6"/>
      </c>
    </row>
    <row r="35" spans="2:29" x14ac:dyDescent="0.25">
      <c r="B35">
        <v>3</v>
      </c>
      <c r="C35" t="s">
        <v>206</v>
      </c>
      <c r="D35">
        <v>24</v>
      </c>
      <c r="H35" s="6">
        <f t="shared" si="0"/>
      </c>
      <c r="L35" s="6">
        <f t="shared" si="1"/>
      </c>
      <c r="M35" s="5"/>
      <c r="P35" s="6">
        <f t="shared" si="2"/>
      </c>
      <c r="Q35" s="5"/>
      <c r="R35" s="5"/>
      <c r="T35" s="6">
        <f t="shared" si="3"/>
      </c>
      <c r="X35" s="6">
        <f t="shared" si="4"/>
      </c>
      <c r="AB35" s="6">
        <f t="shared" si="5"/>
      </c>
      <c r="AC35" s="6">
        <f t="shared" si="6"/>
      </c>
    </row>
    <row r="36" spans="2:29" x14ac:dyDescent="0.25">
      <c r="B36">
        <v>3</v>
      </c>
      <c r="C36" t="s">
        <v>207</v>
      </c>
      <c r="D36">
        <v>25</v>
      </c>
      <c r="H36" s="6">
        <f t="shared" ref="H36:H52" si="7">IFERROR(AVERAGE(E36:G36)/D36,"")</f>
      </c>
      <c r="L36" s="6">
        <f t="shared" ref="L36:L52" si="8">IFERROR(AVERAGE(I36:K36)/D36,"")</f>
      </c>
      <c r="M36" s="5"/>
      <c r="P36" s="6">
        <f t="shared" ref="P36:P52" si="9">IFERROR(AVERAGE(M36:O36)/D36,"")</f>
      </c>
      <c r="Q36" s="5"/>
      <c r="R36" s="5"/>
      <c r="T36" s="6">
        <f t="shared" ref="T36:T52" si="10">IFERROR(AVERAGE(Q36:S36)/D36,"")</f>
      </c>
      <c r="X36" s="6">
        <f t="shared" ref="X36:X52" si="11">IFERROR(AVERAGE(U36:W36)/D36,"")</f>
      </c>
      <c r="AB36" s="6">
        <f t="shared" ref="AB36:AB52" si="12">IFERROR(AVERAGE(Y36:AA36)/D36,"")</f>
      </c>
      <c r="AC36" s="6">
        <f t="shared" ref="AC36:AC52" si="13">IFERROR(AVERAGE(H36,L36,P36,T36,X36,AB36),"")</f>
      </c>
    </row>
    <row r="37" spans="2:29" x14ac:dyDescent="0.25">
      <c r="B37">
        <v>3</v>
      </c>
      <c r="C37" t="s">
        <v>208</v>
      </c>
      <c r="D37">
        <v>24</v>
      </c>
      <c r="H37" s="6">
        <f t="shared" si="7"/>
      </c>
      <c r="L37" s="6">
        <f t="shared" si="8"/>
      </c>
      <c r="M37" s="5"/>
      <c r="P37" s="6">
        <f t="shared" si="9"/>
      </c>
      <c r="Q37" s="5"/>
      <c r="R37" s="5"/>
      <c r="T37" s="6">
        <f t="shared" si="10"/>
      </c>
      <c r="X37" s="6">
        <f t="shared" si="11"/>
      </c>
      <c r="AB37" s="6">
        <f t="shared" si="12"/>
      </c>
      <c r="AC37" s="6">
        <f t="shared" si="13"/>
      </c>
    </row>
    <row r="38" spans="2:29" x14ac:dyDescent="0.25">
      <c r="B38">
        <v>3</v>
      </c>
      <c r="C38" t="s">
        <v>209</v>
      </c>
      <c r="D38">
        <v>25</v>
      </c>
      <c r="H38" s="6">
        <f t="shared" si="7"/>
      </c>
      <c r="L38" s="6">
        <f t="shared" si="8"/>
      </c>
      <c r="M38" s="5"/>
      <c r="P38" s="6">
        <f t="shared" si="9"/>
      </c>
      <c r="Q38" s="5"/>
      <c r="R38" s="5"/>
      <c r="T38" s="6">
        <f t="shared" si="10"/>
      </c>
      <c r="X38" s="6">
        <f t="shared" si="11"/>
      </c>
      <c r="AB38" s="6">
        <f t="shared" si="12"/>
      </c>
      <c r="AC38" s="6">
        <f t="shared" si="13"/>
      </c>
    </row>
    <row r="39" spans="2:29" x14ac:dyDescent="0.25">
      <c r="B39">
        <v>3</v>
      </c>
      <c r="C39" t="s">
        <v>210</v>
      </c>
      <c r="D39">
        <v>29</v>
      </c>
      <c r="H39" s="6">
        <f t="shared" si="7"/>
      </c>
      <c r="L39" s="6">
        <f t="shared" si="8"/>
      </c>
      <c r="M39" s="5"/>
      <c r="P39" s="6">
        <f t="shared" si="9"/>
      </c>
      <c r="Q39" s="5"/>
      <c r="R39" s="5"/>
      <c r="T39" s="6">
        <f t="shared" si="10"/>
      </c>
      <c r="X39" s="6">
        <f t="shared" si="11"/>
      </c>
      <c r="AB39" s="6">
        <f t="shared" si="12"/>
      </c>
      <c r="AC39" s="6">
        <f t="shared" si="13"/>
      </c>
    </row>
    <row r="40" spans="2:29" x14ac:dyDescent="0.25">
      <c r="B40">
        <v>3</v>
      </c>
      <c r="C40" t="s">
        <v>211</v>
      </c>
      <c r="D40">
        <v>28</v>
      </c>
      <c r="H40" s="6">
        <f t="shared" si="7"/>
      </c>
      <c r="L40" s="6">
        <f t="shared" si="8"/>
      </c>
      <c r="M40" s="5"/>
      <c r="P40" s="6">
        <f t="shared" si="9"/>
      </c>
      <c r="Q40" s="5"/>
      <c r="R40" s="5"/>
      <c r="T40" s="6">
        <f t="shared" si="10"/>
      </c>
      <c r="X40" s="6">
        <f t="shared" si="11"/>
      </c>
      <c r="AB40" s="6">
        <f t="shared" si="12"/>
      </c>
      <c r="AC40" s="6">
        <f t="shared" si="13"/>
      </c>
    </row>
    <row r="41" spans="2:29" x14ac:dyDescent="0.25">
      <c r="B41">
        <v>4</v>
      </c>
      <c r="C41" t="s">
        <v>212</v>
      </c>
      <c r="D41">
        <v>18</v>
      </c>
      <c r="H41" s="6">
        <f t="shared" si="7"/>
      </c>
      <c r="L41" s="6">
        <f t="shared" si="8"/>
      </c>
      <c r="M41" s="5"/>
      <c r="P41" s="6">
        <f t="shared" si="9"/>
      </c>
      <c r="Q41" s="5"/>
      <c r="R41" s="5"/>
      <c r="T41" s="6">
        <f t="shared" si="10"/>
      </c>
      <c r="X41" s="6">
        <f t="shared" si="11"/>
      </c>
      <c r="AB41" s="6">
        <f t="shared" si="12"/>
      </c>
      <c r="AC41" s="6">
        <f t="shared" si="13"/>
      </c>
    </row>
    <row r="42" spans="2:29" x14ac:dyDescent="0.25">
      <c r="B42">
        <v>4</v>
      </c>
      <c r="C42" t="s">
        <v>213</v>
      </c>
      <c r="D42">
        <v>16</v>
      </c>
      <c r="H42" s="6">
        <f t="shared" si="7"/>
      </c>
      <c r="L42" s="6">
        <f t="shared" si="8"/>
      </c>
      <c r="M42" s="5"/>
      <c r="P42" s="6">
        <f t="shared" si="9"/>
      </c>
      <c r="Q42" s="5"/>
      <c r="R42" s="5"/>
      <c r="T42" s="6">
        <f t="shared" si="10"/>
      </c>
      <c r="X42" s="6">
        <f t="shared" si="11"/>
      </c>
      <c r="AB42" s="6">
        <f t="shared" si="12"/>
      </c>
      <c r="AC42" s="6">
        <f t="shared" si="13"/>
      </c>
    </row>
    <row r="43" spans="2:29" x14ac:dyDescent="0.25">
      <c r="B43">
        <v>4</v>
      </c>
      <c r="C43" t="s">
        <v>214</v>
      </c>
      <c r="D43">
        <v>32</v>
      </c>
      <c r="H43" s="6">
        <f t="shared" si="7"/>
      </c>
      <c r="L43" s="6">
        <f t="shared" si="8"/>
      </c>
      <c r="M43" s="5"/>
      <c r="P43" s="6">
        <f t="shared" si="9"/>
      </c>
      <c r="Q43" s="5"/>
      <c r="R43" s="5"/>
      <c r="T43" s="6">
        <f t="shared" si="10"/>
      </c>
      <c r="X43" s="6">
        <f t="shared" si="11"/>
      </c>
      <c r="AB43" s="6">
        <f t="shared" si="12"/>
      </c>
      <c r="AC43" s="6">
        <f t="shared" si="13"/>
      </c>
    </row>
    <row r="44" spans="2:29" x14ac:dyDescent="0.25">
      <c r="B44">
        <v>4</v>
      </c>
      <c r="C44" t="s">
        <v>215</v>
      </c>
      <c r="D44">
        <v>30</v>
      </c>
      <c r="H44" s="6">
        <f t="shared" si="7"/>
      </c>
      <c r="L44" s="6">
        <f t="shared" si="8"/>
      </c>
      <c r="M44" s="5"/>
      <c r="P44" s="6">
        <f t="shared" si="9"/>
      </c>
      <c r="Q44" s="5"/>
      <c r="R44" s="5"/>
      <c r="T44" s="6">
        <f t="shared" si="10"/>
      </c>
      <c r="X44" s="6">
        <f t="shared" si="11"/>
      </c>
      <c r="AB44" s="6">
        <f t="shared" si="12"/>
      </c>
      <c r="AC44" s="6">
        <f t="shared" si="13"/>
      </c>
    </row>
    <row r="45" spans="2:29" x14ac:dyDescent="0.25">
      <c r="B45">
        <v>4</v>
      </c>
      <c r="C45" t="s">
        <v>216</v>
      </c>
      <c r="D45">
        <v>28</v>
      </c>
      <c r="H45" s="6">
        <f t="shared" si="7"/>
      </c>
      <c r="L45" s="6">
        <f t="shared" si="8"/>
      </c>
      <c r="M45" s="5"/>
      <c r="P45" s="6">
        <f t="shared" si="9"/>
      </c>
      <c r="Q45" s="5"/>
      <c r="R45" s="5"/>
      <c r="T45" s="6">
        <f t="shared" si="10"/>
      </c>
      <c r="X45" s="6">
        <f t="shared" si="11"/>
      </c>
      <c r="AB45" s="6">
        <f t="shared" si="12"/>
      </c>
      <c r="AC45" s="6">
        <f t="shared" si="13"/>
      </c>
    </row>
    <row r="46" spans="2:29" x14ac:dyDescent="0.25">
      <c r="B46">
        <v>4</v>
      </c>
      <c r="C46" t="s">
        <v>217</v>
      </c>
      <c r="D46">
        <v>29</v>
      </c>
      <c r="H46" s="6">
        <f t="shared" si="7"/>
      </c>
      <c r="L46" s="6">
        <f t="shared" si="8"/>
      </c>
      <c r="M46" s="5"/>
      <c r="P46" s="6">
        <f t="shared" si="9"/>
      </c>
      <c r="Q46" s="5"/>
      <c r="R46" s="5"/>
      <c r="T46" s="6">
        <f t="shared" si="10"/>
      </c>
      <c r="X46" s="6">
        <f t="shared" si="11"/>
      </c>
      <c r="AB46" s="6">
        <f t="shared" si="12"/>
      </c>
      <c r="AC46" s="6">
        <f t="shared" si="13"/>
      </c>
    </row>
    <row r="47" spans="2:29" x14ac:dyDescent="0.25">
      <c r="B47">
        <v>4</v>
      </c>
      <c r="C47" t="s">
        <v>218</v>
      </c>
      <c r="D47">
        <v>30</v>
      </c>
      <c r="H47" s="6">
        <f t="shared" si="7"/>
      </c>
      <c r="L47" s="6">
        <f t="shared" si="8"/>
      </c>
      <c r="M47" s="5"/>
      <c r="P47" s="6">
        <f t="shared" si="9"/>
      </c>
      <c r="Q47" s="5"/>
      <c r="R47" s="5"/>
      <c r="T47" s="6">
        <f t="shared" si="10"/>
      </c>
      <c r="X47" s="6">
        <f t="shared" si="11"/>
      </c>
      <c r="AB47" s="6">
        <f t="shared" si="12"/>
      </c>
      <c r="AC47" s="6">
        <f t="shared" si="13"/>
      </c>
    </row>
    <row r="48" spans="2:29" x14ac:dyDescent="0.25">
      <c r="B48">
        <v>4</v>
      </c>
      <c r="C48" t="s">
        <v>219</v>
      </c>
      <c r="D48">
        <v>31</v>
      </c>
      <c r="H48" s="6">
        <f t="shared" si="7"/>
      </c>
      <c r="L48" s="6">
        <f t="shared" si="8"/>
      </c>
      <c r="M48" s="5"/>
      <c r="P48" s="6">
        <f t="shared" si="9"/>
      </c>
      <c r="Q48" s="5"/>
      <c r="R48" s="5"/>
      <c r="T48" s="6">
        <f t="shared" si="10"/>
      </c>
      <c r="X48" s="6">
        <f t="shared" si="11"/>
      </c>
      <c r="AB48" s="6">
        <f t="shared" si="12"/>
      </c>
      <c r="AC48" s="6">
        <f t="shared" si="13"/>
      </c>
    </row>
    <row r="49" spans="2:29" x14ac:dyDescent="0.25">
      <c r="B49">
        <v>4</v>
      </c>
      <c r="C49" t="s">
        <v>220</v>
      </c>
      <c r="D49">
        <v>31</v>
      </c>
      <c r="H49" s="6">
        <f t="shared" si="7"/>
      </c>
      <c r="L49" s="6">
        <f t="shared" si="8"/>
      </c>
      <c r="M49" s="5"/>
      <c r="P49" s="6">
        <f t="shared" si="9"/>
      </c>
      <c r="Q49" s="5"/>
      <c r="R49" s="5"/>
      <c r="T49" s="6">
        <f t="shared" si="10"/>
      </c>
      <c r="X49" s="6">
        <f t="shared" si="11"/>
      </c>
      <c r="AB49" s="6">
        <f t="shared" si="12"/>
      </c>
      <c r="AC49" s="6">
        <f t="shared" si="13"/>
      </c>
    </row>
    <row r="50" spans="2:29" x14ac:dyDescent="0.25">
      <c r="B50">
        <v>4</v>
      </c>
      <c r="C50" t="s">
        <v>221</v>
      </c>
      <c r="D50">
        <v>30</v>
      </c>
      <c r="H50" s="6">
        <f t="shared" si="7"/>
      </c>
      <c r="L50" s="6">
        <f t="shared" si="8"/>
      </c>
      <c r="M50" s="5"/>
      <c r="P50" s="6">
        <f t="shared" si="9"/>
      </c>
      <c r="Q50" s="5"/>
      <c r="R50" s="5"/>
      <c r="T50" s="6">
        <f t="shared" si="10"/>
      </c>
      <c r="X50" s="6">
        <f t="shared" si="11"/>
      </c>
      <c r="AB50" s="6">
        <f t="shared" si="12"/>
      </c>
      <c r="AC50" s="6">
        <f t="shared" si="13"/>
      </c>
    </row>
    <row r="51" spans="2:29" x14ac:dyDescent="0.25">
      <c r="B51">
        <v>4</v>
      </c>
      <c r="C51" t="s">
        <v>222</v>
      </c>
      <c r="D51">
        <v>28</v>
      </c>
      <c r="H51" s="6">
        <f t="shared" si="7"/>
      </c>
      <c r="L51" s="6">
        <f t="shared" si="8"/>
      </c>
      <c r="M51" s="5"/>
      <c r="P51" s="6">
        <f t="shared" si="9"/>
      </c>
      <c r="Q51" s="5"/>
      <c r="R51" s="5"/>
      <c r="T51" s="6">
        <f t="shared" si="10"/>
      </c>
      <c r="X51" s="6">
        <f t="shared" si="11"/>
      </c>
      <c r="AB51" s="6">
        <f t="shared" si="12"/>
      </c>
      <c r="AC51" s="6">
        <f t="shared" si="13"/>
      </c>
    </row>
    <row r="52" spans="3:29" x14ac:dyDescent="0.25">
      <c r="C52" s="7" t="s">
        <v>52</v>
      </c>
      <c r="D52" s="7">
        <f>SUM(D4:D51)</f>
        <v>1243</v>
      </c>
      <c r="E52">
        <f>SUM(E4:E51)</f>
      </c>
      <c r="F52">
        <f>SUM(F4:F51)</f>
      </c>
      <c r="G52">
        <f>SUM(G4:G51)</f>
      </c>
      <c r="H52" s="6">
        <f t="shared" si="7"/>
      </c>
      <c r="I52">
        <f>SUM(I4:I51)</f>
      </c>
      <c r="J52">
        <f>SUM(J4:J51)</f>
      </c>
      <c r="K52">
        <f>SUM(K4:K51)</f>
      </c>
      <c r="L52" s="6">
        <f t="shared" si="8"/>
      </c>
      <c r="M52">
        <f>SUM(M4:M51)</f>
      </c>
      <c r="N52">
        <f>SUM(N4:N51)</f>
      </c>
      <c r="O52">
        <f>SUM(O4:O51)</f>
      </c>
      <c r="P52" s="6">
        <f t="shared" si="9"/>
      </c>
      <c r="Q52">
        <f>SUM(Q4:Q51)</f>
      </c>
      <c r="R52">
        <f>SUM(R4:R51)</f>
      </c>
      <c r="S52">
        <f>SUM(S4:S51)</f>
      </c>
      <c r="T52" s="6">
        <f t="shared" si="10"/>
      </c>
      <c r="U52">
        <f>SUM(U4:U51)</f>
      </c>
      <c r="V52">
        <f>SUM(V4:V51)</f>
      </c>
      <c r="W52">
        <f>SUM(W4:W51)</f>
      </c>
      <c r="X52" s="6">
        <f t="shared" si="11"/>
      </c>
      <c r="Y52">
        <f>SUM(Y4:Y51)</f>
      </c>
      <c r="Z52">
        <f>SUM(Z4:Z51)</f>
      </c>
      <c r="AA52">
        <f>SUM(AA4:AA51)</f>
      </c>
      <c r="AB52" s="6">
        <f t="shared" si="12"/>
      </c>
      <c r="AC52" s="6">
        <f t="shared" si="13"/>
      </c>
    </row>
  </sheetData>
  <mergeCells count="7">
    <mergeCell ref="A1:AC1"/>
    <mergeCell ref="E2:G2"/>
    <mergeCell ref="I2:K2"/>
    <mergeCell ref="M2:O2"/>
    <mergeCell ref="Q2:S2"/>
    <mergeCell ref="U2:W2"/>
    <mergeCell ref="Y2:AA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"/>
  <sheetViews>
    <sheetView workbookViewId="0" zoomScale="85" zoomScaleNormal="85">
      <pane xSplit="4" ySplit="3" topLeftCell="E4" activePane="bottomRight" state="frozen"/>
      <selection pane="bottomRight" activeCell="E4" sqref="E4"/>
    </sheetView>
  </sheetViews>
  <sheetFormatPr defaultRowHeight="15" outlineLevelRow="0" outlineLevelCol="0" x14ac:dyDescent="55"/>
  <cols>
    <col min="1" max="1" width="24" customWidth="1"/>
    <col min="2" max="2" width="8" customWidth="1"/>
    <col min="3" max="3" width="26" customWidth="1"/>
    <col min="4" max="4" width="12" customWidth="1"/>
    <col min="5" max="7" width="10" customWidth="1"/>
    <col min="8" max="8" width="14" customWidth="1"/>
    <col min="9" max="11" width="10" customWidth="1"/>
    <col min="12" max="12" width="14" customWidth="1"/>
    <col min="13" max="15" width="10" customWidth="1"/>
    <col min="16" max="16" width="14" customWidth="1"/>
    <col min="17" max="19" width="10" customWidth="1"/>
    <col min="20" max="20" width="14" customWidth="1"/>
    <col min="21" max="23" width="10" customWidth="1"/>
    <col min="24" max="24" width="14" customWidth="1"/>
    <col min="25" max="27" width="10" customWidth="1"/>
    <col min="28" max="29" width="14" customWidth="1"/>
  </cols>
  <sheetData>
    <row r="1" ht="32.1" customHeight="1" spans="1:29" x14ac:dyDescent="0.25">
      <c r="A1" s="1" t="s">
        <v>223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1.95" customHeight="1" spans="5:27" x14ac:dyDescent="0.25">
      <c r="E2" s="2" t="s">
        <v>1</v>
      </c>
      <c r="F2" s="2"/>
      <c r="G2" s="2"/>
      <c r="I2" s="2" t="s">
        <v>2</v>
      </c>
      <c r="J2" s="2"/>
      <c r="K2" s="2"/>
      <c r="M2" s="2" t="s">
        <v>3</v>
      </c>
      <c r="N2" s="2"/>
      <c r="O2" s="2"/>
      <c r="Q2" s="2" t="s">
        <v>4</v>
      </c>
      <c r="R2" s="2"/>
      <c r="S2" s="2"/>
      <c r="U2" s="2" t="s">
        <v>5</v>
      </c>
      <c r="V2" s="2"/>
      <c r="W2" s="2"/>
      <c r="Y2" s="2" t="s">
        <v>6</v>
      </c>
      <c r="Z2" s="2"/>
      <c r="AA2" s="2"/>
    </row>
    <row r="3" ht="27.95" customHeight="1" spans="1:29" x14ac:dyDescent="0.25">
      <c r="A3" s="3" t="s">
        <v>7</v>
      </c>
      <c r="B3" s="3" t="s">
        <v>8</v>
      </c>
      <c r="C3" s="3" t="s">
        <v>9</v>
      </c>
      <c r="D3" s="3" t="s">
        <v>10</v>
      </c>
      <c r="E3" s="2" t="s">
        <v>11</v>
      </c>
      <c r="H3" s="4" t="s">
        <v>12</v>
      </c>
      <c r="I3" s="2" t="s">
        <v>13</v>
      </c>
      <c r="L3" s="4" t="s">
        <v>12</v>
      </c>
      <c r="M3" s="2" t="s">
        <v>14</v>
      </c>
      <c r="P3" s="4" t="s">
        <v>12</v>
      </c>
      <c r="Q3" s="2" t="s">
        <v>15</v>
      </c>
      <c r="T3" s="4" t="s">
        <v>12</v>
      </c>
      <c r="U3" s="2" t="s">
        <v>16</v>
      </c>
      <c r="X3" s="4" t="s">
        <v>12</v>
      </c>
      <c r="Y3" s="2" t="s">
        <v>17</v>
      </c>
      <c r="AB3" s="4" t="s">
        <v>12</v>
      </c>
      <c r="AC3" s="3" t="s">
        <v>18</v>
      </c>
    </row>
    <row r="4" spans="1:29" x14ac:dyDescent="0.25">
      <c r="A4" t="s">
        <v>224</v>
      </c>
      <c r="B4">
        <v>1</v>
      </c>
      <c r="C4" t="s">
        <v>225</v>
      </c>
      <c r="D4">
        <v>31</v>
      </c>
      <c r="E4" s="5">
        <v>31</v>
      </c>
      <c r="H4" s="6">
        <f>IFERROR(AVERAGE(E4:G4)/D4,"")</f>
        <v>1</v>
      </c>
      <c r="L4" s="6">
        <f>IFERROR(AVERAGE(E4:E4)/D4,"")</f>
      </c>
      <c r="P4" s="6">
        <f>IFERROR(AVERAGE(E4:E4)/D4,"")</f>
      </c>
      <c r="T4" s="6">
        <f>IFERROR(AVERAGE(E4:E4)/D4,"")</f>
      </c>
      <c r="X4" s="6">
        <f>IFERROR(AVERAGE(E4:E4)/D4,"")</f>
      </c>
      <c r="AB4" s="6">
        <f>IFERROR(AVERAGE(Z4:AA4)/D4,"")</f>
      </c>
      <c r="AC4" s="6">
        <f t="shared" ref="AC4:AC29" si="0">IFERROR(AVERAGE(H4,L4,P4,T4,X4,AB4),"")</f>
        <v>1</v>
      </c>
    </row>
    <row r="5" spans="1:29" x14ac:dyDescent="0.25">
      <c r="A5" t="s">
        <v>21</v>
      </c>
      <c r="B5">
        <v>1</v>
      </c>
      <c r="C5" t="s">
        <v>226</v>
      </c>
      <c r="D5">
        <v>23</v>
      </c>
      <c r="H5" s="6">
        <f>IFERROR(AVERAGE(E5:E5)/D5,"")</f>
      </c>
      <c r="L5" s="6">
        <f>IFERROR(AVERAGE(E5:E5)/D5,"")</f>
      </c>
      <c r="P5" s="6">
        <f>IFERROR(AVERAGE(E5:E5)/D5,"")</f>
      </c>
      <c r="T5" s="6">
        <f>IFERROR(AVERAGE(E5:E5)/D5,"")</f>
      </c>
      <c r="X5" s="6">
        <f>IFERROR(AVERAGE(E5:E5)/D5,"")</f>
      </c>
      <c r="AB5" s="6">
        <f>IFERROR(AVERAGE(Z5:AA5)/D5,"")</f>
      </c>
      <c r="AC5" s="6">
        <f t="shared" si="0"/>
      </c>
    </row>
    <row r="6" spans="1:29" x14ac:dyDescent="0.25">
      <c r="A6" t="s">
        <v>21</v>
      </c>
      <c r="B6">
        <v>1</v>
      </c>
      <c r="C6" t="s">
        <v>227</v>
      </c>
      <c r="D6">
        <v>25</v>
      </c>
      <c r="H6" s="6">
        <f>IFERROR(AVERAGE(E6:E6)/D6,"")</f>
      </c>
      <c r="L6" s="6">
        <f>IFERROR(AVERAGE(E6:E6)/D6,"")</f>
      </c>
      <c r="N6" s="5">
        <v>24</v>
      </c>
      <c r="P6" s="6">
        <f>IFERROR(AVERAGE(M6:O6)/D6,"")</f>
        <v>0.96</v>
      </c>
      <c r="Q6" s="5">
        <v>25</v>
      </c>
      <c r="T6" s="6">
        <f>IFERROR(AVERAGE(Q6:S6)/D6,"")</f>
        <v>1</v>
      </c>
      <c r="X6" s="6">
        <f>IFERROR(AVERAGE(E6:E6)/D6,"")</f>
      </c>
      <c r="AB6" s="6">
        <f>IFERROR(AVERAGE(Z6:AA6)/D6,"")</f>
      </c>
      <c r="AC6" s="6">
        <f>IFERROR(AVERAGE(H6,L6,P6,T6,X6,AB6),"")</f>
        <v>0.98</v>
      </c>
    </row>
    <row r="7" spans="1:29" x14ac:dyDescent="0.25">
      <c r="A7" t="s">
        <v>21</v>
      </c>
      <c r="B7">
        <v>1</v>
      </c>
      <c r="C7" t="s">
        <v>228</v>
      </c>
      <c r="D7">
        <v>18</v>
      </c>
      <c r="H7" s="6">
        <f>IFERROR(AVERAGE(E7:E7)/D7,"")</f>
      </c>
      <c r="L7" s="6">
        <f>IFERROR(AVERAGE(E7:E7)/D7,"")</f>
      </c>
      <c r="P7" s="6">
        <f>IFERROR(AVERAGE(E7:E7)/D7,"")</f>
      </c>
      <c r="T7" s="6">
        <f>IFERROR(AVERAGE(E7:E7)/D7,"")</f>
      </c>
      <c r="X7" s="6">
        <f>IFERROR(AVERAGE(E7:E7)/D7,"")</f>
      </c>
      <c r="AB7" s="6">
        <f>IFERROR(AVERAGE(Z7:AA7)/D7,"")</f>
      </c>
      <c r="AC7" s="6">
        <f t="shared" si="0"/>
      </c>
    </row>
    <row r="8" spans="2:29" x14ac:dyDescent="0.25">
      <c r="B8">
        <v>1</v>
      </c>
      <c r="C8" t="s">
        <v>229</v>
      </c>
      <c r="D8">
        <v>19</v>
      </c>
      <c r="H8" s="6">
        <f>IFERROR(AVERAGE(E8:E8)/D8,"")</f>
      </c>
      <c r="L8" s="6">
        <f>IFERROR(AVERAGE(E8:E8)/D8,"")</f>
      </c>
      <c r="P8" s="6">
        <f>IFERROR(AVERAGE(E8:E8)/D8,"")</f>
      </c>
      <c r="T8" s="6">
        <f>IFERROR(AVERAGE(E8:E8)/D8,"")</f>
      </c>
      <c r="X8" s="6">
        <f>IFERROR(AVERAGE(E8:E8)/D8,"")</f>
      </c>
      <c r="AB8" s="6">
        <f>IFERROR(AVERAGE(Z8:AA8)/D8,"")</f>
      </c>
      <c r="AC8" s="6">
        <f t="shared" si="0"/>
      </c>
    </row>
    <row r="9" spans="2:29" x14ac:dyDescent="0.25">
      <c r="B9">
        <v>1</v>
      </c>
      <c r="C9" t="s">
        <v>230</v>
      </c>
      <c r="D9">
        <v>21</v>
      </c>
      <c r="H9" s="6">
        <f>IFERROR(AVERAGE(E9:E9)/D9,"")</f>
      </c>
      <c r="L9" s="6">
        <f>IFERROR(AVERAGE(E9:E9)/D9,"")</f>
      </c>
      <c r="M9" s="5">
        <v>27</v>
      </c>
      <c r="P9" s="6">
        <f>IFERROR(AVERAGE(M9:O9)/D9,"")</f>
        <v>1</v>
      </c>
      <c r="Q9" s="5">
        <v>27</v>
      </c>
      <c r="T9" s="6">
        <f>IFERROR(AVERAGE(Q9:S9)/D9,"")</f>
        <v>1</v>
      </c>
      <c r="X9" s="6">
        <f>IFERROR(AVERAGE(E9:E9)/D9,"")</f>
      </c>
      <c r="AB9" s="6">
        <f>IFERROR(AVERAGE(Z9:AA9)/D9,"")</f>
      </c>
      <c r="AC9" s="6">
        <f>IFERROR(AVERAGE(H9,L9,P9,T9,X9,AB9),"")</f>
        <v>1</v>
      </c>
    </row>
    <row r="10" spans="2:29" x14ac:dyDescent="0.25">
      <c r="B10">
        <v>2</v>
      </c>
      <c r="C10" t="s">
        <v>231</v>
      </c>
      <c r="D10">
        <v>28</v>
      </c>
      <c r="H10" s="6">
        <f>IFERROR(AVERAGE(E10:E10)/D10,"")</f>
      </c>
      <c r="L10" s="6">
        <f>IFERROR(AVERAGE(E10:E10)/D10,"")</f>
      </c>
      <c r="P10" s="6">
        <f>IFERROR(AVERAGE(E10:E10)/D10,"")</f>
      </c>
      <c r="T10" s="6">
        <f>IFERROR(AVERAGE(E10:E10)/D10,"")</f>
      </c>
      <c r="X10" s="6">
        <f>IFERROR(AVERAGE(E10:E10)/D10,"")</f>
      </c>
      <c r="AB10" s="6">
        <f>IFERROR(AVERAGE(Z10:AA10)/D10,"")</f>
      </c>
      <c r="AC10" s="6">
        <f t="shared" si="0"/>
      </c>
    </row>
    <row r="11" spans="2:29" x14ac:dyDescent="0.25">
      <c r="B11">
        <v>2</v>
      </c>
      <c r="C11" t="s">
        <v>232</v>
      </c>
      <c r="D11">
        <v>22</v>
      </c>
      <c r="H11" s="6">
        <f>IFERROR(AVERAGE(E11:E11)/D11,"")</f>
      </c>
      <c r="L11" s="6">
        <f>IFERROR(AVERAGE(E11:E11)/D11,"")</f>
      </c>
      <c r="P11" s="6">
        <f>IFERROR(AVERAGE(E11:E11)/D11,"")</f>
      </c>
      <c r="T11" s="6">
        <f>IFERROR(AVERAGE(E11:E11)/D11,"")</f>
      </c>
      <c r="X11" s="6">
        <f>IFERROR(AVERAGE(E11:E11)/D11,"")</f>
      </c>
      <c r="AB11" s="6">
        <f>IFERROR(AVERAGE(Z11:AA11)/D11,"")</f>
      </c>
      <c r="AC11" s="6">
        <f t="shared" si="0"/>
      </c>
    </row>
    <row r="12" spans="2:29" x14ac:dyDescent="0.25">
      <c r="B12">
        <v>2</v>
      </c>
      <c r="C12" t="s">
        <v>233</v>
      </c>
      <c r="D12">
        <v>22</v>
      </c>
      <c r="H12" s="6">
        <f>IFERROR(AVERAGE(E12:E12)/D12,"")</f>
      </c>
      <c r="L12" s="6">
        <f>IFERROR(AVERAGE(E12:E12)/D12,"")</f>
      </c>
      <c r="P12" s="6">
        <f>IFERROR(AVERAGE(E12:E12)/D12,"")</f>
      </c>
      <c r="T12" s="6">
        <f>IFERROR(AVERAGE(E12:E12)/D12,"")</f>
      </c>
      <c r="X12" s="6">
        <f>IFERROR(AVERAGE(E12:E12)/D12,"")</f>
      </c>
      <c r="AB12" s="6">
        <f>IFERROR(AVERAGE(Z12:AA12)/D12,"")</f>
      </c>
      <c r="AC12" s="6">
        <f t="shared" si="0"/>
      </c>
    </row>
    <row r="13" spans="2:29" x14ac:dyDescent="0.25">
      <c r="B13">
        <v>2</v>
      </c>
      <c r="C13" t="s">
        <v>234</v>
      </c>
      <c r="D13">
        <v>25</v>
      </c>
      <c r="H13" s="6">
        <f>IFERROR(AVERAGE(E13:E13)/D13,"")</f>
      </c>
      <c r="L13" s="6">
        <f>IFERROR(AVERAGE(E13:E13)/D13,"")</f>
      </c>
      <c r="P13" s="6">
        <f>IFERROR(AVERAGE(E13:E13)/D13,"")</f>
      </c>
      <c r="Q13" s="5">
        <v>24</v>
      </c>
      <c r="T13" s="6">
        <f>IFERROR(AVERAGE(Q13:S13)/D13,"")</f>
        <v>0.96</v>
      </c>
      <c r="X13" s="6">
        <f>IFERROR(AVERAGE(E13:E13)/D13,"")</f>
      </c>
      <c r="AB13" s="6">
        <f>IFERROR(AVERAGE(Z13:AA13)/D13,"")</f>
      </c>
      <c r="AC13" s="6">
        <f>IFERROR(AVERAGE(H13,L13,P13,T13,X13,AB13),"")</f>
        <v>0.96</v>
      </c>
    </row>
    <row r="14" spans="2:29" x14ac:dyDescent="0.25">
      <c r="B14">
        <v>2</v>
      </c>
      <c r="C14" t="s">
        <v>235</v>
      </c>
      <c r="D14">
        <v>21</v>
      </c>
      <c r="H14" s="6">
        <f>IFERROR(AVERAGE(E14:E14)/D14,"")</f>
      </c>
      <c r="L14" s="6">
        <f>IFERROR(AVERAGE(E14:E14)/D14,"")</f>
      </c>
      <c r="P14" s="6">
        <f>IFERROR(AVERAGE(E14:E14)/D14,"")</f>
      </c>
      <c r="T14" s="6">
        <f>IFERROR(AVERAGE(E14:E14)/D14,"")</f>
      </c>
      <c r="X14" s="6">
        <f>IFERROR(AVERAGE(E14:E14)/D14,"")</f>
      </c>
      <c r="AB14" s="6">
        <f>IFERROR(AVERAGE(Z14:AA14)/D14,"")</f>
      </c>
      <c r="AC14" s="6">
        <f t="shared" si="0"/>
      </c>
    </row>
    <row r="15" spans="2:29" x14ac:dyDescent="0.25">
      <c r="B15">
        <v>2</v>
      </c>
      <c r="C15" t="s">
        <v>236</v>
      </c>
      <c r="D15">
        <v>22</v>
      </c>
      <c r="H15" s="6">
        <f>IFERROR(AVERAGE(E15:E15)/D15,"")</f>
      </c>
      <c r="L15" s="6">
        <f>IFERROR(AVERAGE(E15:E15)/D15,"")</f>
      </c>
      <c r="P15" s="6">
        <f>IFERROR(AVERAGE(E15:E15)/D15,"")</f>
      </c>
      <c r="T15" s="6">
        <f>IFERROR(AVERAGE(E15:E15)/D15,"")</f>
      </c>
      <c r="X15" s="6">
        <f>IFERROR(AVERAGE(E15:E15)/D15,"")</f>
      </c>
      <c r="AB15" s="6">
        <f>IFERROR(AVERAGE(Z15:AA15)/D15,"")</f>
      </c>
      <c r="AC15" s="6">
        <f t="shared" si="0"/>
      </c>
    </row>
    <row r="16" spans="2:29" x14ac:dyDescent="0.25">
      <c r="B16">
        <v>2</v>
      </c>
      <c r="C16" t="s">
        <v>237</v>
      </c>
      <c r="D16">
        <v>29</v>
      </c>
      <c r="H16" s="6">
        <f>IFERROR(AVERAGE(E16:E16)/D16,"")</f>
      </c>
      <c r="L16" s="6">
        <f>IFERROR(AVERAGE(E16:E16)/D16,"")</f>
      </c>
      <c r="P16" s="6">
        <f>IFERROR(AVERAGE(E16:E16)/D16,"")</f>
      </c>
      <c r="T16" s="6">
        <f>IFERROR(AVERAGE(E16:E16)/D16,"")</f>
      </c>
      <c r="X16" s="6">
        <f>IFERROR(AVERAGE(E16:E16)/D16,"")</f>
      </c>
      <c r="AB16" s="6">
        <f>IFERROR(AVERAGE(Z16:AA16)/D16,"")</f>
      </c>
      <c r="AC16" s="6">
        <f t="shared" si="0"/>
      </c>
    </row>
    <row r="17" spans="2:29" x14ac:dyDescent="0.25">
      <c r="B17">
        <v>2</v>
      </c>
      <c r="C17" t="s">
        <v>238</v>
      </c>
      <c r="D17">
        <v>26</v>
      </c>
      <c r="H17" s="6">
        <f>IFERROR(AVERAGE(E17:E17)/D17,"")</f>
      </c>
      <c r="L17" s="6">
        <f>IFERROR(AVERAGE(E17:E17)/D17,"")</f>
      </c>
      <c r="P17" s="6">
        <f>IFERROR(AVERAGE(E17:E17)/D17,"")</f>
      </c>
      <c r="Q17" s="5">
        <v>27</v>
      </c>
      <c r="T17" s="6">
        <f>IFERROR(AVERAGE(Q17:S17)/D17,"")</f>
        <v>1</v>
      </c>
      <c r="X17" s="6">
        <f>IFERROR(AVERAGE(E17:E17)/D17,"")</f>
      </c>
      <c r="AB17" s="6">
        <f>IFERROR(AVERAGE(Z17:AA17)/D17,"")</f>
      </c>
      <c r="AC17" s="6">
        <f>IFERROR(AVERAGE(H17,L17,P17,T17,X17,AB17),"")</f>
        <v>1</v>
      </c>
    </row>
    <row r="18" spans="2:29" x14ac:dyDescent="0.25">
      <c r="B18">
        <v>2</v>
      </c>
      <c r="C18" t="s">
        <v>239</v>
      </c>
      <c r="D18">
        <v>24</v>
      </c>
      <c r="H18" s="6">
        <f>IFERROR(AVERAGE(E18:E18)/D18,"")</f>
      </c>
      <c r="L18" s="6">
        <f>IFERROR(AVERAGE(E18:E18)/D18,"")</f>
      </c>
      <c r="P18" s="6">
        <f>IFERROR(AVERAGE(E18:E18)/D18,"")</f>
      </c>
      <c r="T18" s="6">
        <f>IFERROR(AVERAGE(E18:E18)/D18,"")</f>
      </c>
      <c r="X18" s="6">
        <f>IFERROR(AVERAGE(E18:E18)/D18,"")</f>
      </c>
      <c r="AB18" s="6">
        <f>IFERROR(AVERAGE(Z18:AA18)/D18,"")</f>
      </c>
      <c r="AC18" s="6">
        <f t="shared" si="0"/>
      </c>
    </row>
    <row r="19" spans="2:29" x14ac:dyDescent="0.25">
      <c r="B19">
        <v>3</v>
      </c>
      <c r="C19" t="s">
        <v>240</v>
      </c>
      <c r="D19">
        <v>21</v>
      </c>
      <c r="H19" s="6">
        <f>IFERROR(AVERAGE(E19:E19)/D19,"")</f>
      </c>
      <c r="L19" s="6">
        <f>IFERROR(AVERAGE(E19:E19)/D19,"")</f>
      </c>
      <c r="P19" s="6">
        <f>IFERROR(AVERAGE(E19:E19)/D19,"")</f>
      </c>
      <c r="T19" s="6">
        <f>IFERROR(AVERAGE(E19:E19)/D19,"")</f>
      </c>
      <c r="X19" s="6">
        <f>IFERROR(AVERAGE(E19:E19)/D19,"")</f>
      </c>
      <c r="AB19" s="6">
        <f>IFERROR(AVERAGE(Z19:AA19)/D19,"")</f>
      </c>
      <c r="AC19" s="6">
        <f t="shared" si="0"/>
      </c>
    </row>
    <row r="20" spans="2:29" x14ac:dyDescent="0.25">
      <c r="B20">
        <v>3</v>
      </c>
      <c r="C20" t="s">
        <v>241</v>
      </c>
      <c r="D20">
        <v>24</v>
      </c>
      <c r="H20" s="6">
        <f>IFERROR(AVERAGE(E20:E20)/D20,"")</f>
      </c>
      <c r="L20" s="6">
        <f>IFERROR(AVERAGE(E20:E20)/D20,"")</f>
      </c>
      <c r="P20" s="6">
        <f>IFERROR(AVERAGE(E20:E20)/D20,"")</f>
      </c>
      <c r="T20" s="6">
        <f>IFERROR(AVERAGE(E20:E20)/D20,"")</f>
      </c>
      <c r="X20" s="6">
        <f>IFERROR(AVERAGE(E20:E20)/D20,"")</f>
      </c>
      <c r="AB20" s="6">
        <f>IFERROR(AVERAGE(Z20:AA20)/D20,"")</f>
      </c>
      <c r="AC20" s="6">
        <f t="shared" si="0"/>
      </c>
    </row>
    <row r="21" spans="2:29" x14ac:dyDescent="0.25">
      <c r="B21">
        <v>3</v>
      </c>
      <c r="C21" t="s">
        <v>242</v>
      </c>
      <c r="D21">
        <v>23</v>
      </c>
      <c r="H21" s="6">
        <f>IFERROR(AVERAGE(E21:E21)/D21,"")</f>
      </c>
      <c r="L21" s="6">
        <f>IFERROR(AVERAGE(E21:E21)/D21,"")</f>
      </c>
      <c r="P21" s="6">
        <f>IFERROR(AVERAGE(E21:E21)/D21,"")</f>
      </c>
      <c r="T21" s="6">
        <f>IFERROR(AVERAGE(E21:E21)/D21,"")</f>
      </c>
      <c r="X21" s="6">
        <f>IFERROR(AVERAGE(E21:E21)/D21,"")</f>
      </c>
      <c r="AB21" s="6">
        <f>IFERROR(AVERAGE(Z21:AA21)/D21,"")</f>
      </c>
      <c r="AC21" s="6">
        <f t="shared" si="0"/>
      </c>
    </row>
    <row r="22" spans="2:29" x14ac:dyDescent="0.25">
      <c r="B22">
        <v>3</v>
      </c>
      <c r="C22" t="s">
        <v>243</v>
      </c>
      <c r="D22">
        <v>29</v>
      </c>
      <c r="H22" s="6">
        <f>IFERROR(AVERAGE(E22:E22)/D22,"")</f>
      </c>
      <c r="L22" s="6">
        <f>IFERROR(AVERAGE(E22:E22)/D22,"")</f>
      </c>
      <c r="P22" s="6">
        <f>IFERROR(AVERAGE(E22:E22)/D22,"")</f>
      </c>
      <c r="T22" s="6">
        <f>IFERROR(AVERAGE(E22:E22)/D22,"")</f>
      </c>
      <c r="X22" s="6">
        <f>IFERROR(AVERAGE(E22:E22)/D22,"")</f>
      </c>
      <c r="AB22" s="6">
        <f>IFERROR(AVERAGE(Z22:AA22)/D22,"")</f>
      </c>
      <c r="AC22" s="6">
        <f t="shared" si="0"/>
      </c>
    </row>
    <row r="23" spans="2:29" x14ac:dyDescent="0.25">
      <c r="B23">
        <v>3</v>
      </c>
      <c r="C23" t="s">
        <v>244</v>
      </c>
      <c r="D23">
        <v>24</v>
      </c>
      <c r="H23" s="6">
        <f>IFERROR(AVERAGE(E23:E23)/D23,"")</f>
      </c>
      <c r="L23" s="6">
        <f>IFERROR(AVERAGE(E23:E23)/D23,"")</f>
      </c>
      <c r="P23" s="6">
        <f>IFERROR(AVERAGE(E23:E23)/D23,"")</f>
      </c>
      <c r="T23" s="6">
        <f>IFERROR(AVERAGE(E23:E23)/D23,"")</f>
      </c>
      <c r="X23" s="6">
        <f>IFERROR(AVERAGE(E23:E23)/D23,"")</f>
      </c>
      <c r="AB23" s="6">
        <f>IFERROR(AVERAGE(Z23:AA23)/D23,"")</f>
      </c>
      <c r="AC23" s="6">
        <f t="shared" si="0"/>
      </c>
    </row>
    <row r="24" spans="2:29" x14ac:dyDescent="0.25">
      <c r="B24">
        <v>3</v>
      </c>
      <c r="C24" t="s">
        <v>245</v>
      </c>
      <c r="D24">
        <v>21</v>
      </c>
      <c r="H24" s="6">
        <f>IFERROR(AVERAGE(E24:E24)/D24,"")</f>
      </c>
      <c r="L24" s="6">
        <f>IFERROR(AVERAGE(E24:E24)/D24,"")</f>
      </c>
      <c r="P24" s="6">
        <f>IFERROR(AVERAGE(E24:E24)/D24,"")</f>
      </c>
      <c r="T24" s="6">
        <f>IFERROR(AVERAGE(E24:E24)/D24,"")</f>
      </c>
      <c r="X24" s="6">
        <f>IFERROR(AVERAGE(E24:E24)/D24,"")</f>
      </c>
      <c r="AB24" s="6">
        <f>IFERROR(AVERAGE(Z24:AA24)/D24,"")</f>
      </c>
      <c r="AC24" s="6">
        <f t="shared" si="0"/>
      </c>
    </row>
    <row r="25" spans="2:29" x14ac:dyDescent="0.25">
      <c r="B25">
        <v>3</v>
      </c>
      <c r="C25" t="s">
        <v>246</v>
      </c>
      <c r="D25">
        <v>26</v>
      </c>
      <c r="H25" s="6">
        <f>IFERROR(AVERAGE(E25:E25)/D25,"")</f>
      </c>
      <c r="L25" s="6">
        <f>IFERROR(AVERAGE(E25:E25)/D25,"")</f>
      </c>
      <c r="P25" s="6">
        <f>IFERROR(AVERAGE(E25:E25)/D25,"")</f>
      </c>
      <c r="T25" s="6">
        <f>IFERROR(AVERAGE(E25:E25)/D25,"")</f>
      </c>
      <c r="X25" s="6">
        <f>IFERROR(AVERAGE(E25:E25)/D25,"")</f>
      </c>
      <c r="AB25" s="6">
        <f>IFERROR(AVERAGE(Z25:AA25)/D25,"")</f>
      </c>
      <c r="AC25" s="6">
        <f t="shared" si="0"/>
      </c>
    </row>
    <row r="26" spans="2:29" x14ac:dyDescent="0.25">
      <c r="B26">
        <v>3</v>
      </c>
      <c r="C26" t="s">
        <v>247</v>
      </c>
      <c r="D26">
        <v>26</v>
      </c>
      <c r="H26" s="6">
        <f>IFERROR(AVERAGE(E26:E26)/D26,"")</f>
      </c>
      <c r="L26" s="6">
        <f>IFERROR(AVERAGE(E26:E26)/D26,"")</f>
      </c>
      <c r="P26" s="6">
        <f>IFERROR(AVERAGE(E26:E26)/D26,"")</f>
      </c>
      <c r="T26" s="6">
        <f>IFERROR(AVERAGE(E26:E26)/D26,"")</f>
      </c>
      <c r="X26" s="6">
        <f>IFERROR(AVERAGE(E26:E26)/D26,"")</f>
      </c>
      <c r="AB26" s="6">
        <f>IFERROR(AVERAGE(Z26:AA26)/D26,"")</f>
      </c>
      <c r="AC26" s="6">
        <f t="shared" si="0"/>
      </c>
    </row>
    <row r="27" spans="2:29" x14ac:dyDescent="0.25">
      <c r="B27">
        <v>4</v>
      </c>
      <c r="C27" t="s">
        <v>248</v>
      </c>
      <c r="D27">
        <v>29</v>
      </c>
      <c r="H27" s="6">
        <f>IFERROR(AVERAGE(E27:E27)/D27,"")</f>
      </c>
      <c r="L27" s="6">
        <f>IFERROR(AVERAGE(E27:E27)/D27,"")</f>
      </c>
      <c r="P27" s="6">
        <f>IFERROR(AVERAGE(E27:E27)/D27,"")</f>
      </c>
      <c r="T27" s="6">
        <f>IFERROR(AVERAGE(E27:E27)/D27,"")</f>
      </c>
      <c r="X27" s="6">
        <f>IFERROR(AVERAGE(E27:E27)/D27,"")</f>
      </c>
      <c r="AB27" s="6">
        <f>IFERROR(AVERAGE(Z27:AA27)/D27,"")</f>
      </c>
      <c r="AC27" s="6">
        <f t="shared" si="0"/>
      </c>
    </row>
    <row r="28" spans="2:29" x14ac:dyDescent="0.25">
      <c r="B28">
        <v>4</v>
      </c>
      <c r="C28" t="s">
        <v>249</v>
      </c>
      <c r="D28">
        <v>29</v>
      </c>
      <c r="H28" s="6">
        <f>IFERROR(AVERAGE(E28:E28)/D28,"")</f>
      </c>
      <c r="L28" s="6">
        <f>IFERROR(AVERAGE(E28:E28)/D28,"")</f>
      </c>
      <c r="P28" s="6">
        <f>IFERROR(AVERAGE(E28:E28)/D28,"")</f>
      </c>
      <c r="T28" s="6">
        <f>IFERROR(AVERAGE(E28:E28)/D28,"")</f>
      </c>
      <c r="X28" s="6">
        <f>IFERROR(AVERAGE(E28:E28)/D28,"")</f>
      </c>
      <c r="AB28" s="6">
        <f>IFERROR(AVERAGE(Z28:AA28)/D28,"")</f>
      </c>
      <c r="AC28" s="6">
        <f t="shared" si="0"/>
      </c>
    </row>
    <row r="29" spans="2:29" x14ac:dyDescent="0.25">
      <c r="B29">
        <v>4</v>
      </c>
      <c r="C29" t="s">
        <v>250</v>
      </c>
      <c r="D29">
        <v>30</v>
      </c>
      <c r="H29" s="6">
        <f>IFERROR(AVERAGE(E29:E29)/D29,"")</f>
      </c>
      <c r="L29" s="6">
        <f>IFERROR(AVERAGE(E29:E29)/D29,"")</f>
      </c>
      <c r="P29" s="6">
        <f>IFERROR(AVERAGE(E29:E29)/D29,"")</f>
      </c>
      <c r="T29" s="6">
        <f>IFERROR(AVERAGE(E29:E29)/D29,"")</f>
      </c>
      <c r="X29" s="6">
        <f>IFERROR(AVERAGE(E29:E29)/D29,"")</f>
      </c>
      <c r="AB29" s="6">
        <f>IFERROR(AVERAGE(Z29:AA29)/D29,"")</f>
      </c>
      <c r="AC29" s="6">
        <f t="shared" si="0"/>
      </c>
    </row>
    <row r="30" spans="3:29" x14ac:dyDescent="0.25">
      <c r="C30" s="7" t="s">
        <v>52</v>
      </c>
      <c r="D30" s="7">
        <f>SUM(D4:D29)</f>
        <v>638</v>
      </c>
      <c r="E30">
        <f>SUM(E4:E29)</f>
        <v>31</v>
      </c>
      <c r="F30" t="e">
        <f>SUM(#REF!)</f>
        <v>#REF!</v>
      </c>
      <c r="G30" t="e">
        <f>SUM(#REF!)</f>
        <v>#REF!</v>
      </c>
      <c r="H30" s="6">
        <f>IFERROR(AVERAGE(E30:G30)/D30,"")</f>
        <v>0.0486</v>
      </c>
      <c r="I30" t="e">
        <f>SUM(#REF!)</f>
        <v>#REF!</v>
      </c>
      <c r="J30" t="e">
        <f>SUM(#REF!)</f>
        <v>#REF!</v>
      </c>
      <c r="K30" t="e">
        <f>SUM(#REF!)</f>
        <v>#REF!</v>
      </c>
      <c r="L30" s="6">
        <f t="shared" ref="L4:L30" si="1">IFERROR(AVERAGE(I30:K30)/D30,"")</f>
      </c>
      <c r="M30">
        <f>SUM(M4:M29)</f>
        <v>27</v>
      </c>
      <c r="N30">
        <f>SUM(N4:N29)</f>
        <v>24</v>
      </c>
      <c r="O30" t="e">
        <f>SUM(#REF!)</f>
        <v>#REF!</v>
      </c>
      <c r="P30" s="6">
        <f>IFERROR(AVERAGE(M30:O30)/D30,"")</f>
        <v>0.04</v>
      </c>
      <c r="Q30">
        <f>SUM(Q4:Q29)</f>
        <v>103</v>
      </c>
      <c r="R30" t="e">
        <f>SUM(#REF!)</f>
        <v>#REF!</v>
      </c>
      <c r="S30" t="e">
        <f>SUM(#REF!)</f>
        <v>#REF!</v>
      </c>
      <c r="T30" s="6">
        <f>IFERROR(AVERAGE(Q30:S30)/D30,"")</f>
        <v>0.1614</v>
      </c>
      <c r="U30" t="e">
        <f>SUM(#REF!)</f>
        <v>#REF!</v>
      </c>
      <c r="V30" t="e">
        <f>SUM(#REF!)</f>
        <v>#REF!</v>
      </c>
      <c r="W30" t="e">
        <f>SUM(#REF!)</f>
        <v>#REF!</v>
      </c>
      <c r="X30" s="6">
        <f t="shared" ref="X4:X30" si="2">IFERROR(AVERAGE(U30:W30)/D30,"")</f>
      </c>
      <c r="Y30" t="e">
        <f>SUM(#REF!)</f>
        <v>#REF!</v>
      </c>
      <c r="Z30">
        <f>SUM(E4:E29)</f>
      </c>
      <c r="AA30" t="e">
        <f>SUM(#REF!)</f>
        <v>#REF!</v>
      </c>
      <c r="AB30" s="6">
        <f t="shared" ref="AB4:AB30" si="3">IFERROR(AVERAGE(Y30:AA30)/D30,"")</f>
      </c>
      <c r="AC30" s="6">
        <f>IFERROR(AVERAGE(H30,L30,P30,T30,X30,AB30),"")</f>
        <v>0.0833</v>
      </c>
    </row>
  </sheetData>
  <mergeCells count="7">
    <mergeCell ref="A1:AC1"/>
    <mergeCell ref="E2:G2"/>
    <mergeCell ref="I2:K2"/>
    <mergeCell ref="M2:O2"/>
    <mergeCell ref="Q2:S2"/>
    <mergeCell ref="U2:W2"/>
    <mergeCell ref="Y2:AA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"/>
  <sheetViews>
    <sheetView workbookViewId="0" zoomScale="100" zoomScaleNormal="100">
      <selection activeCell="G12" sqref="G12"/>
    </sheetView>
  </sheetViews>
  <sheetFormatPr defaultRowHeight="15" outlineLevelRow="0" outlineLevelCol="0" x14ac:dyDescent="55"/>
  <cols>
    <col min="1" max="1" width="6" customWidth="1"/>
    <col min="2" max="2" width="38" customWidth="1"/>
    <col min="3" max="3" width="16" customWidth="1"/>
    <col min="4" max="5" width="22" customWidth="1"/>
    <col min="6" max="6" width="18" customWidth="1"/>
    <col min="7" max="7" width="20" customWidth="1"/>
    <col min="8" max="8" width="16" customWidth="1"/>
    <col min="9" max="29" width="10" customWidth="1"/>
  </cols>
  <sheetData>
    <row r="1" ht="36" customHeight="1" spans="1:10" x14ac:dyDescent="0.25">
      <c r="A1" s="8" t="s">
        <v>251</v>
      </c>
      <c r="B1" s="8"/>
      <c r="C1" s="8"/>
      <c r="D1" s="8"/>
      <c r="E1" s="8"/>
      <c r="F1" s="8"/>
      <c r="G1" s="8"/>
      <c r="H1" s="8"/>
      <c r="I1" s="8"/>
      <c r="J1" s="8"/>
    </row>
    <row r="2" ht="20.1" customHeight="1" spans="1:10" x14ac:dyDescent="0.25">
      <c r="A2" s="9" t="s">
        <v>252</v>
      </c>
      <c r="B2" s="9"/>
      <c r="C2" s="9"/>
      <c r="D2" s="9"/>
      <c r="E2" s="9"/>
      <c r="F2" s="9"/>
      <c r="G2" s="9"/>
      <c r="H2" s="9"/>
      <c r="I2" s="9"/>
      <c r="J2" s="9"/>
    </row>
    <row r="4" ht="27.95" customHeight="1" spans="1:29" x14ac:dyDescent="0.25">
      <c r="A4" s="10" t="s">
        <v>253</v>
      </c>
      <c r="B4" s="10" t="s">
        <v>254</v>
      </c>
      <c r="C4" s="10" t="s">
        <v>255</v>
      </c>
      <c r="D4" s="10" t="s">
        <v>256</v>
      </c>
      <c r="E4" s="10" t="s">
        <v>257</v>
      </c>
      <c r="F4" s="10" t="s">
        <v>258</v>
      </c>
      <c r="G4" s="10" t="s">
        <v>259</v>
      </c>
      <c r="H4" s="10" t="s">
        <v>260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spans="1:8" s="12" customFormat="1" x14ac:dyDescent="0.25">
      <c r="A5" s="13">
        <v>1</v>
      </c>
      <c r="B5" s="12" t="s">
        <v>19</v>
      </c>
      <c r="C5" s="13">
        <v>31</v>
      </c>
      <c r="D5" s="13">
        <v>696</v>
      </c>
      <c r="E5" s="13">
        <v>32</v>
      </c>
      <c r="F5" s="13" t="s">
        <v>261</v>
      </c>
      <c r="G5" s="13" t="s">
        <v>262</v>
      </c>
      <c r="H5" s="14" t="s">
        <v>263</v>
      </c>
    </row>
    <row r="6" spans="1:8" s="12" customFormat="1" x14ac:dyDescent="0.25">
      <c r="A6" s="13">
        <v>2</v>
      </c>
      <c r="B6" s="12" t="s">
        <v>54</v>
      </c>
      <c r="C6" s="13">
        <v>70</v>
      </c>
      <c r="D6" s="13">
        <v>1488</v>
      </c>
      <c r="E6" s="13">
        <v>25</v>
      </c>
      <c r="F6" s="13" t="s">
        <v>264</v>
      </c>
      <c r="G6" s="13" t="s">
        <v>265</v>
      </c>
      <c r="H6" s="14" t="s">
        <v>263</v>
      </c>
    </row>
    <row r="7" spans="1:8" s="12" customFormat="1" x14ac:dyDescent="0.25">
      <c r="A7" s="13">
        <v>3</v>
      </c>
      <c r="B7" s="12" t="s">
        <v>126</v>
      </c>
      <c r="C7" s="13">
        <v>46</v>
      </c>
      <c r="D7" s="13">
        <v>1086</v>
      </c>
      <c r="E7" s="13">
        <v>99</v>
      </c>
      <c r="F7" s="13" t="s">
        <v>266</v>
      </c>
      <c r="G7" s="13" t="s">
        <v>267</v>
      </c>
      <c r="H7" s="14" t="s">
        <v>263</v>
      </c>
    </row>
    <row r="8" spans="1:8" s="12" customFormat="1" x14ac:dyDescent="0.25">
      <c r="A8" s="13">
        <v>4</v>
      </c>
      <c r="B8" s="12" t="s">
        <v>174</v>
      </c>
      <c r="C8" s="13">
        <v>48</v>
      </c>
      <c r="D8" s="13">
        <v>1243</v>
      </c>
      <c r="E8" s="13" t="s">
        <v>268</v>
      </c>
      <c r="F8" s="13" t="s">
        <v>268</v>
      </c>
      <c r="G8" s="13" t="s">
        <v>268</v>
      </c>
      <c r="H8" s="15" t="s">
        <v>269</v>
      </c>
    </row>
    <row r="9" spans="1:8" s="12" customFormat="1" x14ac:dyDescent="0.25">
      <c r="A9" s="13">
        <v>5</v>
      </c>
      <c r="B9" s="12" t="s">
        <v>224</v>
      </c>
      <c r="C9" s="13">
        <v>26</v>
      </c>
      <c r="D9" s="13">
        <v>638</v>
      </c>
      <c r="E9" s="13">
        <v>31</v>
      </c>
      <c r="F9" s="13" t="s">
        <v>270</v>
      </c>
      <c r="G9" s="13" t="s">
        <v>271</v>
      </c>
      <c r="H9" s="14" t="s">
        <v>263</v>
      </c>
    </row>
    <row r="10" spans="1:8" s="16" customFormat="1" x14ac:dyDescent="0.25">
      <c r="A10" s="16" t="s">
        <v>21</v>
      </c>
      <c r="B10" s="17" t="s">
        <v>272</v>
      </c>
      <c r="C10" s="18">
        <v>221</v>
      </c>
      <c r="D10" s="18">
        <v>5151</v>
      </c>
      <c r="E10" s="18">
        <v>187</v>
      </c>
      <c r="F10" s="18" t="s">
        <v>273</v>
      </c>
      <c r="G10" s="18" t="s">
        <v>273</v>
      </c>
      <c r="H10" s="19" t="s">
        <v>274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Aniq fanlar</vt:lpstr>
      <vt:lpstr>Filologiya</vt:lpstr>
      <vt:lpstr>Ijtimoiy va amaliy</vt:lpstr>
      <vt:lpstr>Boshlang'ich ta'lim</vt:lpstr>
      <vt:lpstr>Pedagogika</vt:lpstr>
      <vt:lpstr>Umumiy Monitoring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2026-10-19T06:54:28Z</dcterms:created>
  <dcterms:modified xsi:type="dcterms:W3CDTF">2026-10-19T06:54:28Z</dcterms:modified>
</cp:coreProperties>
</file>