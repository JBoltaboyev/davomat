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638888E-3B74-4CA2-99AB-BD3A96B427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Лист1!$A$1:$AC$35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5" i="1" l="1"/>
  <c r="H4" i="1"/>
  <c r="L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6" i="1"/>
  <c r="L20" i="1"/>
  <c r="L22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AB4" i="1"/>
  <c r="X4" i="1"/>
  <c r="T4" i="1"/>
  <c r="P4" i="1"/>
  <c r="L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R35" i="1"/>
  <c r="T35" i="1" s="1"/>
  <c r="N35" i="1"/>
  <c r="J35" i="1"/>
  <c r="G35" i="1"/>
  <c r="F35" i="1"/>
  <c r="D35" i="1"/>
  <c r="H35" i="1" l="1"/>
</calcChain>
</file>

<file path=xl/sharedStrings.xml><?xml version="1.0" encoding="utf-8"?>
<sst xmlns="http://schemas.openxmlformats.org/spreadsheetml/2006/main" count="51" uniqueCount="46">
  <si>
    <t>KUNDUZGI YO'NALISHLAR</t>
  </si>
  <si>
    <t>HEMISDA</t>
  </si>
  <si>
    <t>GURUHLAR</t>
  </si>
  <si>
    <t xml:space="preserve"> KUNLIK 
DAVOMAT %</t>
  </si>
  <si>
    <t>SESHANBA</t>
  </si>
  <si>
    <t>CHORSHANBA</t>
  </si>
  <si>
    <t>PAYSHANBA</t>
  </si>
  <si>
    <t>JUMA</t>
  </si>
  <si>
    <t>SHANBA</t>
  </si>
  <si>
    <t xml:space="preserve"> HAFTA
 DAVOMATI %</t>
  </si>
  <si>
    <t>JAMI TALABALAR SONI</t>
  </si>
  <si>
    <t>Fakultet</t>
  </si>
  <si>
    <t xml:space="preserve">Kurs </t>
  </si>
  <si>
    <t xml:space="preserve">DUSHANBA </t>
  </si>
  <si>
    <t xml:space="preserve"> Aniq fanlar oliy maktabi  </t>
  </si>
  <si>
    <t>261-Fizika</t>
  </si>
  <si>
    <t>262-Fizika</t>
  </si>
  <si>
    <t>261-Astranomiya</t>
  </si>
  <si>
    <t>261-Matematika</t>
  </si>
  <si>
    <t>262-Matematika</t>
  </si>
  <si>
    <t>261-Amaliy matematika</t>
  </si>
  <si>
    <t>262-Amaliy matematika</t>
  </si>
  <si>
    <t>261-Axborot tizimlari va texnologiyalari</t>
  </si>
  <si>
    <t>262-Axborot tizimlari va texnologiyalari</t>
  </si>
  <si>
    <t>261-Sun'iy intelekt</t>
  </si>
  <si>
    <t>262-Sun'iy intelekt</t>
  </si>
  <si>
    <t>251-Fizika</t>
  </si>
  <si>
    <t>252-Fizika</t>
  </si>
  <si>
    <t>251-Astranomiya</t>
  </si>
  <si>
    <t>251-Matematika</t>
  </si>
  <si>
    <t>252-Matematika</t>
  </si>
  <si>
    <t>253-Matematika</t>
  </si>
  <si>
    <t>251-Amaliy matematika</t>
  </si>
  <si>
    <t>252-Amaliy matematika</t>
  </si>
  <si>
    <t>232-Fizika va astranomiya</t>
  </si>
  <si>
    <t>231-Fizika va astranomiya</t>
  </si>
  <si>
    <t>233-Matematika va informatika</t>
  </si>
  <si>
    <t>241-Amaliy matematika</t>
  </si>
  <si>
    <t>231-Matematika va informatika</t>
  </si>
  <si>
    <t>232-Matematika va informatika</t>
  </si>
  <si>
    <t>243-Matematika</t>
  </si>
  <si>
    <t>242-Matematika</t>
  </si>
  <si>
    <t>241-Matematika</t>
  </si>
  <si>
    <t>241-Astronomiya</t>
  </si>
  <si>
    <t>242-Fizika</t>
  </si>
  <si>
    <t>241-Fizika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</si>
</sst>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22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6" borderId="0" xfId="0" applyFill="1"/>
    <xf numFmtId="0" fontId="6" fillId="6" borderId="0" xfId="0" applyFont="1" applyFill="1"/>
    <xf numFmtId="0" fontId="0" fillId="6" borderId="0" xfId="0" applyFill="1" applyBorder="1" applyAlignment="1">
      <alignment vertical="center"/>
    </xf>
    <xf numFmtId="0" fontId="0" fillId="6" borderId="0" xfId="0" applyFill="1" applyBorder="1"/>
    <xf numFmtId="0" fontId="2" fillId="0" borderId="0" xfId="0" applyFont="1" applyAlignment="1">
      <alignment horizontal="center"/>
    </xf>
    <xf numFmtId="0" fontId="8" fillId="6" borderId="0" xfId="0" applyFont="1" applyFill="1" applyBorder="1" applyAlignment="1">
      <alignment vertical="center"/>
    </xf>
    <xf numFmtId="0" fontId="8" fillId="6" borderId="0" xfId="0" applyFont="1" applyFill="1" applyBorder="1"/>
    <xf numFmtId="0" fontId="9" fillId="0" borderId="0" xfId="0" applyFont="1"/>
    <xf numFmtId="0" fontId="7" fillId="0" borderId="0" xfId="0" applyFont="1" applyAlignment="1">
      <alignment horizontal="left"/>
    </xf>
    <xf numFmtId="9" fontId="1" fillId="7" borderId="4" xfId="0" applyNumberFormat="1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0" fillId="2" borderId="1" xfId="0" applyFont="1" applyFill="1" applyBorder="1" applyAlignment="1" applyProtection="1">
      <alignment horizontal="center" vertical="center"/>
      <protection locked="0" hidden="1"/>
    </xf>
    <xf numFmtId="0" fontId="1" fillId="9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1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 hidden="1"/>
    </xf>
    <xf numFmtId="0" fontId="1" fillId="8" borderId="7" xfId="0" applyFont="1" applyFill="1" applyBorder="1" applyAlignment="1">
      <alignment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 applyProtection="1">
      <alignment horizontal="center" vertical="center"/>
      <protection locked="0" hidden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textRotation="90" wrapText="1"/>
    </xf>
    <xf numFmtId="9" fontId="1" fillId="3" borderId="4" xfId="0" applyNumberFormat="1" applyFont="1" applyFill="1" applyBorder="1" applyAlignment="1" applyProtection="1">
      <alignment horizontal="center" vertical="center" wrapText="1"/>
      <protection hidden="1"/>
    </xf>
    <xf numFmtId="9" fontId="12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6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 applyProtection="1">
      <alignment horizontal="center" vertical="center"/>
      <protection locked="0" hidden="1"/>
    </xf>
    <xf numFmtId="0" fontId="1" fillId="11" borderId="1" xfId="0" applyFont="1" applyFill="1" applyBorder="1" applyAlignment="1" applyProtection="1">
      <alignment horizontal="center" vertical="center" wrapText="1"/>
      <protection locked="0" hidden="1"/>
    </xf>
    <xf numFmtId="0" fontId="1" fillId="11" borderId="4" xfId="0" applyFont="1" applyFill="1" applyBorder="1" applyAlignment="1" applyProtection="1">
      <alignment horizontal="center" vertical="center" wrapText="1"/>
      <protection locked="0" hidden="1"/>
    </xf>
    <xf numFmtId="0" fontId="1" fillId="0" borderId="1" xfId="0" applyFont="1" applyFill="1" applyBorder="1" applyAlignment="1">
      <alignment horizontal="center" vertical="center"/>
    </xf>
    <xf numFmtId="9" fontId="12" fillId="12" borderId="4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Alignment="1">
      <alignment horizontal="center"/>
    </xf>
    <xf numFmtId="0" fontId="1" fillId="11" borderId="3" xfId="0" applyFont="1" applyFill="1" applyBorder="1" applyAlignment="1" applyProtection="1">
      <alignment horizontal="center" vertical="center"/>
      <protection locked="0" hidden="1"/>
    </xf>
    <xf numFmtId="0" fontId="1" fillId="11" borderId="1" xfId="0" applyFont="1" applyFill="1" applyBorder="1" applyAlignment="1" applyProtection="1">
      <alignment horizontal="center" vertical="center" wrapText="1"/>
      <protection locked="0" hidden="1"/>
    </xf>
    <xf numFmtId="0" fontId="1" fillId="11" borderId="1" xfId="0" applyFont="1" applyFill="1" applyBorder="1" applyAlignment="1" applyProtection="1">
      <alignment horizontal="center" vertical="center"/>
      <protection locked="0" hidden="1"/>
    </xf>
    <xf numFmtId="0" fontId="10" fillId="5" borderId="2" xfId="0" applyFont="1" applyFill="1" applyBorder="1" applyAlignment="1" applyProtection="1">
      <alignment horizontal="center" vertical="center"/>
      <protection locked="0" hidden="1"/>
    </xf>
    <xf numFmtId="0" fontId="10" fillId="5" borderId="3" xfId="0" applyFont="1" applyFill="1" applyBorder="1" applyAlignment="1" applyProtection="1">
      <alignment horizontal="center" vertical="center"/>
      <protection locked="0" hidden="1"/>
    </xf>
    <xf numFmtId="0" fontId="1" fillId="8" borderId="5" xfId="0" applyFont="1" applyFill="1" applyBorder="1" applyAlignment="1">
      <alignment horizontal="center" vertical="center" textRotation="90" wrapText="1"/>
    </xf>
    <xf numFmtId="0" fontId="1" fillId="8" borderId="6" xfId="0" applyFont="1" applyFill="1" applyBorder="1" applyAlignment="1">
      <alignment horizontal="center" vertical="center" textRotation="90" wrapText="1"/>
    </xf>
    <xf numFmtId="0" fontId="10" fillId="2" borderId="3" xfId="0" applyFont="1" applyFill="1" applyBorder="1" applyAlignment="1" applyProtection="1">
      <alignment horizontal="center" vertical="center"/>
      <protection locked="0" hidden="1"/>
    </xf>
    <xf numFmtId="14" fontId="10" fillId="2" borderId="4" xfId="0" applyNumberFormat="1" applyFont="1" applyFill="1" applyBorder="1" applyAlignment="1" applyProtection="1">
      <alignment horizontal="center" vertical="center"/>
      <protection locked="0" hidden="1"/>
    </xf>
    <xf numFmtId="14" fontId="10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tabSelected="1" zoomScale="70" zoomScaleNormal="70" zoomScaleSheetLayoutView="70" workbookViewId="0">
      <selection activeCell="V26" sqref="V26"/>
    </sheetView>
  </sheetViews>
  <sheetFormatPr defaultRowHeight="28.5" x14ac:dyDescent="0.45"/>
  <cols>
    <col min="1" max="1" width="11" style="10" customWidth="1"/>
    <col min="2" max="2" width="7.42578125" style="10" customWidth="1"/>
    <col min="3" max="3" width="43.5703125" style="11" bestFit="1" customWidth="1"/>
    <col min="4" max="4" width="13.140625" style="9" customWidth="1"/>
    <col min="5" max="5" width="6.28515625" style="6" customWidth="1"/>
    <col min="6" max="7" width="6.28515625" style="3" customWidth="1"/>
    <col min="8" max="8" width="15" style="3" customWidth="1"/>
    <col min="9" max="9" width="6.5703125" style="3" customWidth="1"/>
    <col min="10" max="10" width="7.85546875" style="3" customWidth="1"/>
    <col min="11" max="11" width="6.5703125" style="3" customWidth="1"/>
    <col min="12" max="12" width="14.42578125" style="3" customWidth="1"/>
    <col min="13" max="13" width="6.7109375" style="3" customWidth="1"/>
    <col min="14" max="14" width="6.85546875" style="3" customWidth="1"/>
    <col min="15" max="15" width="6.7109375" style="3" customWidth="1"/>
    <col min="16" max="16" width="16.5703125" style="3" customWidth="1"/>
    <col min="17" max="19" width="7.140625" style="3" customWidth="1"/>
    <col min="20" max="20" width="16.7109375" style="3" customWidth="1"/>
    <col min="21" max="23" width="8" style="3" customWidth="1"/>
    <col min="24" max="24" width="16.7109375" style="3" customWidth="1"/>
    <col min="25" max="27" width="7.140625" style="3" customWidth="1"/>
    <col min="28" max="28" width="16" style="4" customWidth="1"/>
    <col min="29" max="29" width="17.42578125" style="32" bestFit="1" customWidth="1"/>
    <col min="30" max="30" width="10.7109375" customWidth="1"/>
    <col min="31" max="31" width="8.42578125" customWidth="1"/>
    <col min="32" max="32" width="6.140625" customWidth="1"/>
    <col min="33" max="33" width="9.140625" customWidth="1"/>
    <col min="34" max="34" width="6.140625" customWidth="1"/>
    <col min="35" max="35" width="19" customWidth="1"/>
    <col min="36" max="36" width="9.5703125" customWidth="1"/>
  </cols>
  <sheetData>
    <row r="1" spans="1:36" s="1" customFormat="1" ht="34.5" customHeight="1" x14ac:dyDescent="0.2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36" s="7" customFormat="1" ht="21.75" customHeight="1" x14ac:dyDescent="0.3">
      <c r="A2" s="49"/>
      <c r="B2" s="49"/>
      <c r="C2" s="49"/>
      <c r="D2" s="18"/>
      <c r="E2" s="50">
        <v>46300</v>
      </c>
      <c r="F2" s="51"/>
      <c r="G2" s="51"/>
      <c r="H2" s="51"/>
      <c r="I2" s="50">
        <v>46301</v>
      </c>
      <c r="J2" s="51"/>
      <c r="K2" s="51"/>
      <c r="L2" s="51"/>
      <c r="M2" s="50">
        <v>46302</v>
      </c>
      <c r="N2" s="51"/>
      <c r="O2" s="51"/>
      <c r="P2" s="51"/>
      <c r="Q2" s="50">
        <v>46303</v>
      </c>
      <c r="R2" s="51"/>
      <c r="S2" s="51"/>
      <c r="T2" s="51"/>
      <c r="U2" s="50">
        <v>46304</v>
      </c>
      <c r="V2" s="51"/>
      <c r="W2" s="51"/>
      <c r="X2" s="51"/>
      <c r="Y2" s="50">
        <v>46305</v>
      </c>
      <c r="Z2" s="51"/>
      <c r="AA2" s="51"/>
      <c r="AB2" s="51"/>
      <c r="AC2" s="23"/>
    </row>
    <row r="3" spans="1:36" s="33" customFormat="1" ht="47.25" x14ac:dyDescent="0.15">
      <c r="A3" s="34" t="s">
        <v>11</v>
      </c>
      <c r="B3" s="35" t="s">
        <v>12</v>
      </c>
      <c r="C3" s="36" t="s">
        <v>2</v>
      </c>
      <c r="D3" s="37" t="s">
        <v>1</v>
      </c>
      <c r="E3" s="42" t="s">
        <v>13</v>
      </c>
      <c r="F3" s="42"/>
      <c r="G3" s="42"/>
      <c r="H3" s="37" t="s">
        <v>3</v>
      </c>
      <c r="I3" s="43" t="s">
        <v>4</v>
      </c>
      <c r="J3" s="43"/>
      <c r="K3" s="43"/>
      <c r="L3" s="37" t="s">
        <v>3</v>
      </c>
      <c r="M3" s="43" t="s">
        <v>5</v>
      </c>
      <c r="N3" s="43"/>
      <c r="O3" s="43"/>
      <c r="P3" s="37" t="s">
        <v>3</v>
      </c>
      <c r="Q3" s="43" t="s">
        <v>6</v>
      </c>
      <c r="R3" s="43"/>
      <c r="S3" s="43"/>
      <c r="T3" s="37" t="s">
        <v>3</v>
      </c>
      <c r="U3" s="44" t="s">
        <v>7</v>
      </c>
      <c r="V3" s="44"/>
      <c r="W3" s="44"/>
      <c r="X3" s="37" t="s">
        <v>3</v>
      </c>
      <c r="Y3" s="44" t="s">
        <v>8</v>
      </c>
      <c r="Z3" s="44"/>
      <c r="AA3" s="44"/>
      <c r="AB3" s="37" t="s">
        <v>3</v>
      </c>
      <c r="AC3" s="38" t="s">
        <v>9</v>
      </c>
      <c r="AD3" s="41"/>
      <c r="AE3" s="41"/>
      <c r="AF3" s="41"/>
      <c r="AG3" s="41"/>
      <c r="AH3" s="41"/>
      <c r="AI3" s="41"/>
      <c r="AJ3" s="41"/>
    </row>
    <row r="4" spans="1:36" ht="15" customHeight="1" x14ac:dyDescent="0.25">
      <c r="A4" s="47" t="s">
        <v>14</v>
      </c>
      <c r="B4" s="52">
        <v>1</v>
      </c>
      <c r="C4" s="15" t="s">
        <v>15</v>
      </c>
      <c r="D4" s="19">
        <v>25</v>
      </c>
      <c r="E4" s="14"/>
      <c r="F4" s="14"/>
      <c r="G4" s="14">
        <v>25</v>
      </c>
      <c r="H4" s="12">
        <f>IFERROR(AVERAGE(E4:G4)/D4,"")</f>
        <v>1</v>
      </c>
      <c r="I4" s="14"/>
      <c r="J4" s="14">
        <v>24</v>
      </c>
      <c r="K4" s="14"/>
      <c r="L4" s="12">
        <f>IFERROR(AVERAGE(I4:K4)/D4,"")</f>
        <v>0.96</v>
      </c>
      <c r="M4" s="13"/>
      <c r="N4" s="13">
        <v>24</v>
      </c>
      <c r="O4" s="13"/>
      <c r="P4" s="12">
        <f>IFERROR(AVERAGE(M4:O4)/D4,"")</f>
        <v>0.96</v>
      </c>
      <c r="Q4" s="16"/>
      <c r="R4" s="16">
        <v>24</v>
      </c>
      <c r="S4" s="16"/>
      <c r="T4" s="12">
        <f>IFERROR(AVERAGE(Q4:S4)/D4,"")</f>
        <v>0.96</v>
      </c>
      <c r="U4" s="16"/>
      <c r="V4" s="16">
        <v>25</v>
      </c>
      <c r="W4" s="16"/>
      <c r="X4" s="12">
        <f>IFERROR(AVERAGE(U4:W4)/D4,"")</f>
        <v>1</v>
      </c>
      <c r="Y4" s="16"/>
      <c r="Z4" s="16"/>
      <c r="AA4" s="16"/>
      <c r="AB4" s="12" t="str">
        <f>IFERROR(AVERAGE(Y4:AA4)/D4,"")</f>
        <v/>
      </c>
      <c r="AC4" s="30"/>
    </row>
    <row r="5" spans="1:36" ht="15" customHeight="1" x14ac:dyDescent="0.25">
      <c r="A5" s="48"/>
      <c r="B5" s="52"/>
      <c r="C5" s="15" t="s">
        <v>16</v>
      </c>
      <c r="D5" s="19">
        <v>22</v>
      </c>
      <c r="E5" s="14"/>
      <c r="F5" s="14"/>
      <c r="G5" s="14">
        <v>21</v>
      </c>
      <c r="H5" s="12">
        <f t="shared" ref="H5:H35" si="0">IFERROR(AVERAGE(E5:G5)/D5,"")</f>
        <v>0.95454545454545459</v>
      </c>
      <c r="I5" s="14"/>
      <c r="J5" s="14">
        <v>20</v>
      </c>
      <c r="K5" s="14"/>
      <c r="L5" s="12">
        <f t="shared" ref="L5:L35" si="1">IFERROR(AVERAGE(I5:K5)/D5,"")</f>
        <v>0.90909090909090906</v>
      </c>
      <c r="M5" s="13"/>
      <c r="N5" s="13">
        <v>20</v>
      </c>
      <c r="O5" s="13"/>
      <c r="P5" s="12">
        <f t="shared" ref="P5:P35" si="2">IFERROR(AVERAGE(M5:O5)/D5,"")</f>
        <v>0.90909090909090906</v>
      </c>
      <c r="Q5" s="16"/>
      <c r="R5" s="16">
        <v>20</v>
      </c>
      <c r="S5" s="16"/>
      <c r="T5" s="12">
        <f t="shared" ref="T5:T35" si="3">IFERROR(AVERAGE(Q5:S5)/D5,"")</f>
        <v>0.90909090909090906</v>
      </c>
      <c r="U5" s="16"/>
      <c r="V5" s="16">
        <v>22</v>
      </c>
      <c r="W5" s="16"/>
      <c r="X5" s="12">
        <f t="shared" ref="X5:X35" si="4">IFERROR(AVERAGE(U5:W5)/D5,"")</f>
        <v>1</v>
      </c>
      <c r="Y5" s="16"/>
      <c r="Z5" s="16"/>
      <c r="AA5" s="16"/>
      <c r="AB5" s="12" t="str">
        <f t="shared" ref="AB5:AB35" si="5">IFERROR(AVERAGE(Y5:AA5)/D5,"")</f>
        <v/>
      </c>
      <c r="AC5" s="30"/>
    </row>
    <row r="6" spans="1:36" ht="15" customHeight="1" x14ac:dyDescent="0.25">
      <c r="A6" s="48"/>
      <c r="B6" s="52"/>
      <c r="C6" s="15" t="s">
        <v>17</v>
      </c>
      <c r="D6" s="19">
        <v>8</v>
      </c>
      <c r="E6" s="14"/>
      <c r="F6" s="14"/>
      <c r="G6" s="14"/>
      <c r="H6" s="12" t="str">
        <f t="shared" si="0"/>
        <v/>
      </c>
      <c r="I6" s="14"/>
      <c r="J6" s="14">
        <v>7</v>
      </c>
      <c r="K6" s="14"/>
      <c r="L6" s="12">
        <f t="shared" si="1"/>
        <v>0.875</v>
      </c>
      <c r="M6" s="14"/>
      <c r="N6" s="14">
        <v>7</v>
      </c>
      <c r="O6" s="14"/>
      <c r="P6" s="12">
        <f t="shared" si="2"/>
        <v>0.875</v>
      </c>
      <c r="Q6" s="16"/>
      <c r="R6" s="16">
        <v>8</v>
      </c>
      <c r="S6" s="16"/>
      <c r="T6" s="12">
        <f t="shared" si="3"/>
        <v>1</v>
      </c>
      <c r="U6" s="14"/>
      <c r="V6" s="16">
        <v>8</v>
      </c>
      <c r="W6" s="14"/>
      <c r="X6" s="12">
        <f t="shared" si="4"/>
        <v>1</v>
      </c>
      <c r="Y6" s="14"/>
      <c r="Z6" s="14"/>
      <c r="AA6" s="14"/>
      <c r="AB6" s="12" t="str">
        <f t="shared" si="5"/>
        <v/>
      </c>
      <c r="AC6" s="30"/>
    </row>
    <row r="7" spans="1:36" ht="15" customHeight="1" x14ac:dyDescent="0.25">
      <c r="A7" s="48"/>
      <c r="B7" s="52"/>
      <c r="C7" s="15" t="s">
        <v>18</v>
      </c>
      <c r="D7" s="19">
        <v>26</v>
      </c>
      <c r="E7" s="14"/>
      <c r="F7" s="14"/>
      <c r="G7" s="14">
        <v>26</v>
      </c>
      <c r="H7" s="12">
        <f t="shared" si="0"/>
        <v>1</v>
      </c>
      <c r="I7" s="14"/>
      <c r="J7" s="14">
        <v>25</v>
      </c>
      <c r="K7" s="14"/>
      <c r="L7" s="12">
        <f t="shared" si="1"/>
        <v>0.96153846153846156</v>
      </c>
      <c r="M7" s="14"/>
      <c r="N7" s="14">
        <v>25</v>
      </c>
      <c r="O7" s="14"/>
      <c r="P7" s="12">
        <f t="shared" si="2"/>
        <v>0.96153846153846156</v>
      </c>
      <c r="Q7" s="16"/>
      <c r="R7" s="16">
        <v>24</v>
      </c>
      <c r="S7" s="16"/>
      <c r="T7" s="12">
        <f t="shared" si="3"/>
        <v>0.92307692307692313</v>
      </c>
      <c r="U7" s="14"/>
      <c r="V7" s="16"/>
      <c r="W7" s="14"/>
      <c r="X7" s="12" t="str">
        <f t="shared" si="4"/>
        <v/>
      </c>
      <c r="Y7" s="14"/>
      <c r="Z7" s="14"/>
      <c r="AA7" s="14"/>
      <c r="AB7" s="12" t="str">
        <f t="shared" si="5"/>
        <v/>
      </c>
      <c r="AC7" s="30"/>
    </row>
    <row r="8" spans="1:36" ht="15" customHeight="1" x14ac:dyDescent="0.25">
      <c r="A8" s="48"/>
      <c r="B8" s="52"/>
      <c r="C8" s="15" t="s">
        <v>19</v>
      </c>
      <c r="D8" s="19">
        <v>24</v>
      </c>
      <c r="E8" s="14"/>
      <c r="F8" s="14"/>
      <c r="G8" s="14">
        <v>24</v>
      </c>
      <c r="H8" s="12">
        <f t="shared" si="0"/>
        <v>1</v>
      </c>
      <c r="I8" s="14"/>
      <c r="J8" s="14">
        <v>24</v>
      </c>
      <c r="K8" s="14"/>
      <c r="L8" s="12">
        <f t="shared" si="1"/>
        <v>1</v>
      </c>
      <c r="M8" s="13"/>
      <c r="N8" s="13">
        <v>24</v>
      </c>
      <c r="O8" s="14"/>
      <c r="P8" s="12">
        <f t="shared" si="2"/>
        <v>1</v>
      </c>
      <c r="Q8" s="16"/>
      <c r="R8" s="16">
        <v>23</v>
      </c>
      <c r="S8" s="16"/>
      <c r="T8" s="12">
        <f t="shared" si="3"/>
        <v>0.95833333333333337</v>
      </c>
      <c r="U8" s="16"/>
      <c r="V8" s="16"/>
      <c r="W8" s="16"/>
      <c r="X8" s="12" t="str">
        <f t="shared" si="4"/>
        <v/>
      </c>
      <c r="Y8" s="16"/>
      <c r="Z8" s="16"/>
      <c r="AA8" s="16"/>
      <c r="AB8" s="12" t="str">
        <f t="shared" si="5"/>
        <v/>
      </c>
      <c r="AC8" s="30"/>
    </row>
    <row r="9" spans="1:36" ht="15" customHeight="1" x14ac:dyDescent="0.25">
      <c r="A9" s="48"/>
      <c r="B9" s="52"/>
      <c r="C9" s="15" t="s">
        <v>20</v>
      </c>
      <c r="D9" s="19">
        <v>26</v>
      </c>
      <c r="E9" s="14"/>
      <c r="F9" s="14"/>
      <c r="G9" s="14"/>
      <c r="H9" s="12" t="str">
        <f t="shared" si="0"/>
        <v/>
      </c>
      <c r="I9" s="14"/>
      <c r="J9" s="14"/>
      <c r="K9" s="14"/>
      <c r="L9" s="12" t="str">
        <f t="shared" si="1"/>
        <v/>
      </c>
      <c r="M9" s="13"/>
      <c r="N9" s="13"/>
      <c r="O9" s="14"/>
      <c r="P9" s="12" t="str">
        <f t="shared" si="2"/>
        <v/>
      </c>
      <c r="Q9" s="16"/>
      <c r="R9" s="13">
        <v>24</v>
      </c>
      <c r="S9" s="16"/>
      <c r="T9" s="12">
        <f t="shared" si="3"/>
        <v>0.92307692307692313</v>
      </c>
      <c r="U9" s="16"/>
      <c r="V9" s="16">
        <v>26</v>
      </c>
      <c r="W9" s="16"/>
      <c r="X9" s="12">
        <f t="shared" si="4"/>
        <v>1</v>
      </c>
      <c r="Y9" s="16"/>
      <c r="Z9" s="16"/>
      <c r="AA9" s="16"/>
      <c r="AB9" s="12" t="str">
        <f t="shared" si="5"/>
        <v/>
      </c>
      <c r="AC9" s="30"/>
    </row>
    <row r="10" spans="1:36" ht="15" customHeight="1" x14ac:dyDescent="0.25">
      <c r="A10" s="48"/>
      <c r="B10" s="52"/>
      <c r="C10" s="15" t="s">
        <v>21</v>
      </c>
      <c r="D10" s="19">
        <v>25</v>
      </c>
      <c r="E10" s="14"/>
      <c r="F10" s="14"/>
      <c r="G10" s="14"/>
      <c r="H10" s="12" t="str">
        <f t="shared" si="0"/>
        <v/>
      </c>
      <c r="I10" s="14"/>
      <c r="J10" s="14">
        <v>25</v>
      </c>
      <c r="K10" s="14"/>
      <c r="L10" s="12">
        <f t="shared" si="1"/>
        <v>1</v>
      </c>
      <c r="M10" s="14"/>
      <c r="N10" s="14">
        <v>25</v>
      </c>
      <c r="O10" s="14"/>
      <c r="P10" s="12">
        <f t="shared" si="2"/>
        <v>1</v>
      </c>
      <c r="Q10" s="14"/>
      <c r="R10" s="14">
        <v>26</v>
      </c>
      <c r="S10" s="14"/>
      <c r="T10" s="12">
        <f t="shared" si="3"/>
        <v>1.04</v>
      </c>
      <c r="U10" s="16"/>
      <c r="V10" s="16"/>
      <c r="W10" s="16"/>
      <c r="X10" s="12" t="str">
        <f t="shared" si="4"/>
        <v/>
      </c>
      <c r="Y10" s="16"/>
      <c r="Z10" s="16"/>
      <c r="AA10" s="16"/>
      <c r="AB10" s="12" t="str">
        <f t="shared" si="5"/>
        <v/>
      </c>
      <c r="AC10" s="30"/>
    </row>
    <row r="11" spans="1:36" ht="15" customHeight="1" x14ac:dyDescent="0.25">
      <c r="A11" s="48"/>
      <c r="B11" s="52"/>
      <c r="C11" s="15" t="s">
        <v>22</v>
      </c>
      <c r="D11" s="19">
        <v>22</v>
      </c>
      <c r="E11" s="14"/>
      <c r="F11" s="14"/>
      <c r="G11" s="14">
        <v>22</v>
      </c>
      <c r="H11" s="12">
        <f t="shared" si="0"/>
        <v>1</v>
      </c>
      <c r="I11" s="14"/>
      <c r="J11" s="22"/>
      <c r="K11" s="22"/>
      <c r="L11" s="12" t="str">
        <f t="shared" si="1"/>
        <v/>
      </c>
      <c r="M11" s="14"/>
      <c r="N11" s="14"/>
      <c r="O11" s="14"/>
      <c r="P11" s="12" t="str">
        <f t="shared" si="2"/>
        <v/>
      </c>
      <c r="Q11" s="14"/>
      <c r="R11" s="14">
        <v>22</v>
      </c>
      <c r="S11" s="14"/>
      <c r="T11" s="12">
        <f t="shared" si="3"/>
        <v>1</v>
      </c>
      <c r="U11" s="16"/>
      <c r="V11" s="16">
        <v>20</v>
      </c>
      <c r="W11" s="16"/>
      <c r="X11" s="12">
        <f t="shared" si="4"/>
        <v>0.90909090909090906</v>
      </c>
      <c r="Y11" s="16"/>
      <c r="Z11" s="16"/>
      <c r="AA11" s="16"/>
      <c r="AB11" s="12" t="str">
        <f t="shared" si="5"/>
        <v/>
      </c>
      <c r="AC11" s="30"/>
    </row>
    <row r="12" spans="1:36" ht="15" customHeight="1" x14ac:dyDescent="0.25">
      <c r="A12" s="48"/>
      <c r="B12" s="52"/>
      <c r="C12" s="15" t="s">
        <v>23</v>
      </c>
      <c r="D12" s="19">
        <v>22</v>
      </c>
      <c r="E12" s="14"/>
      <c r="F12" s="14"/>
      <c r="G12" s="14">
        <v>22</v>
      </c>
      <c r="H12" s="12">
        <f t="shared" si="0"/>
        <v>1</v>
      </c>
      <c r="I12" s="14"/>
      <c r="J12" s="22"/>
      <c r="K12" s="22"/>
      <c r="L12" s="12" t="str">
        <f t="shared" si="1"/>
        <v/>
      </c>
      <c r="M12" s="14"/>
      <c r="N12" s="14"/>
      <c r="O12" s="14"/>
      <c r="P12" s="12" t="str">
        <f t="shared" si="2"/>
        <v/>
      </c>
      <c r="Q12" s="16"/>
      <c r="R12" s="16">
        <v>22</v>
      </c>
      <c r="S12" s="16"/>
      <c r="T12" s="12">
        <f t="shared" si="3"/>
        <v>1</v>
      </c>
      <c r="U12" s="16"/>
      <c r="V12" s="16">
        <v>22</v>
      </c>
      <c r="W12" s="16"/>
      <c r="X12" s="12">
        <f t="shared" si="4"/>
        <v>1</v>
      </c>
      <c r="Y12" s="16"/>
      <c r="Z12" s="16"/>
      <c r="AA12" s="16"/>
      <c r="AB12" s="12" t="str">
        <f t="shared" si="5"/>
        <v/>
      </c>
      <c r="AC12" s="30"/>
    </row>
    <row r="13" spans="1:36" ht="15" customHeight="1" x14ac:dyDescent="0.25">
      <c r="A13" s="48"/>
      <c r="B13" s="52"/>
      <c r="C13" s="15" t="s">
        <v>24</v>
      </c>
      <c r="D13" s="19">
        <v>19</v>
      </c>
      <c r="E13" s="14"/>
      <c r="F13" s="14"/>
      <c r="G13" s="14"/>
      <c r="H13" s="12" t="str">
        <f t="shared" si="0"/>
        <v/>
      </c>
      <c r="I13" s="14"/>
      <c r="J13" s="22"/>
      <c r="K13" s="22"/>
      <c r="L13" s="12" t="str">
        <f t="shared" si="1"/>
        <v/>
      </c>
      <c r="M13" s="14"/>
      <c r="N13" s="14"/>
      <c r="O13" s="14"/>
      <c r="P13" s="12" t="str">
        <f t="shared" si="2"/>
        <v/>
      </c>
      <c r="Q13" s="16"/>
      <c r="R13" s="16">
        <v>16</v>
      </c>
      <c r="S13" s="16"/>
      <c r="T13" s="12">
        <f t="shared" si="3"/>
        <v>0.84210526315789469</v>
      </c>
      <c r="U13" s="16"/>
      <c r="V13" s="16"/>
      <c r="W13" s="16"/>
      <c r="X13" s="12" t="str">
        <f t="shared" si="4"/>
        <v/>
      </c>
      <c r="Y13" s="16"/>
      <c r="Z13" s="16"/>
      <c r="AA13" s="16"/>
      <c r="AB13" s="12" t="str">
        <f t="shared" si="5"/>
        <v/>
      </c>
      <c r="AC13" s="30"/>
    </row>
    <row r="14" spans="1:36" ht="15" customHeight="1" x14ac:dyDescent="0.25">
      <c r="A14" s="48"/>
      <c r="B14" s="52"/>
      <c r="C14" s="15" t="s">
        <v>25</v>
      </c>
      <c r="D14" s="19">
        <v>19</v>
      </c>
      <c r="E14" s="14"/>
      <c r="F14" s="14"/>
      <c r="G14" s="14"/>
      <c r="H14" s="12" t="str">
        <f t="shared" si="0"/>
        <v/>
      </c>
      <c r="I14" s="14"/>
      <c r="J14" s="39"/>
      <c r="K14" s="39"/>
      <c r="L14" s="12" t="str">
        <f t="shared" si="1"/>
        <v/>
      </c>
      <c r="M14" s="13"/>
      <c r="N14" s="13"/>
      <c r="O14" s="13"/>
      <c r="P14" s="12" t="str">
        <f t="shared" si="2"/>
        <v/>
      </c>
      <c r="Q14" s="16"/>
      <c r="R14" s="13">
        <v>19</v>
      </c>
      <c r="S14" s="16"/>
      <c r="T14" s="12">
        <f t="shared" si="3"/>
        <v>1</v>
      </c>
      <c r="U14" s="16"/>
      <c r="V14" s="16"/>
      <c r="W14" s="16"/>
      <c r="X14" s="12" t="str">
        <f t="shared" si="4"/>
        <v/>
      </c>
      <c r="Y14" s="16"/>
      <c r="Z14" s="16"/>
      <c r="AA14" s="16"/>
      <c r="AB14" s="12" t="str">
        <f t="shared" si="5"/>
        <v/>
      </c>
      <c r="AC14" s="30"/>
    </row>
    <row r="15" spans="1:36" ht="15" customHeight="1" x14ac:dyDescent="0.25">
      <c r="A15" s="48"/>
      <c r="B15" s="52">
        <v>2</v>
      </c>
      <c r="C15" s="15" t="s">
        <v>26</v>
      </c>
      <c r="D15" s="19">
        <v>26</v>
      </c>
      <c r="E15" s="14"/>
      <c r="F15" s="14"/>
      <c r="G15" s="14">
        <v>24</v>
      </c>
      <c r="H15" s="12">
        <f t="shared" si="0"/>
        <v>0.92307692307692313</v>
      </c>
      <c r="I15" s="14"/>
      <c r="J15" s="22">
        <v>26</v>
      </c>
      <c r="K15" s="22"/>
      <c r="L15" s="12">
        <f t="shared" si="1"/>
        <v>1</v>
      </c>
      <c r="M15" s="13"/>
      <c r="N15" s="13">
        <v>26</v>
      </c>
      <c r="O15" s="13"/>
      <c r="P15" s="12">
        <f t="shared" si="2"/>
        <v>1</v>
      </c>
      <c r="Q15" s="16"/>
      <c r="R15" s="16">
        <v>22</v>
      </c>
      <c r="S15" s="16"/>
      <c r="T15" s="12">
        <f t="shared" si="3"/>
        <v>0.84615384615384615</v>
      </c>
      <c r="U15" s="16"/>
      <c r="V15" s="16">
        <v>24</v>
      </c>
      <c r="W15" s="16"/>
      <c r="X15" s="12">
        <f t="shared" si="4"/>
        <v>0.92307692307692313</v>
      </c>
      <c r="Y15" s="16"/>
      <c r="Z15" s="16"/>
      <c r="AA15" s="16"/>
      <c r="AB15" s="12" t="str">
        <f t="shared" si="5"/>
        <v/>
      </c>
      <c r="AC15" s="30"/>
    </row>
    <row r="16" spans="1:36" ht="15" customHeight="1" x14ac:dyDescent="0.25">
      <c r="A16" s="48"/>
      <c r="B16" s="52"/>
      <c r="C16" s="15" t="s">
        <v>27</v>
      </c>
      <c r="D16" s="19">
        <v>26</v>
      </c>
      <c r="E16" s="14"/>
      <c r="F16" s="14"/>
      <c r="G16" s="14">
        <v>24</v>
      </c>
      <c r="H16" s="12">
        <f t="shared" si="0"/>
        <v>0.92307692307692313</v>
      </c>
      <c r="I16" s="14"/>
      <c r="J16" s="22">
        <v>21</v>
      </c>
      <c r="K16" s="22"/>
      <c r="L16" s="12">
        <f t="shared" si="1"/>
        <v>0.80769230769230771</v>
      </c>
      <c r="M16" s="13"/>
      <c r="N16" s="13">
        <v>21</v>
      </c>
      <c r="O16" s="13"/>
      <c r="P16" s="12">
        <f t="shared" si="2"/>
        <v>0.80769230769230771</v>
      </c>
      <c r="Q16" s="16"/>
      <c r="R16" s="16">
        <v>24</v>
      </c>
      <c r="S16" s="16"/>
      <c r="T16" s="12">
        <f t="shared" si="3"/>
        <v>0.92307692307692313</v>
      </c>
      <c r="U16" s="16"/>
      <c r="V16" s="16">
        <v>24</v>
      </c>
      <c r="W16" s="16"/>
      <c r="X16" s="12">
        <f t="shared" si="4"/>
        <v>0.92307692307692313</v>
      </c>
      <c r="Y16" s="16"/>
      <c r="Z16" s="16"/>
      <c r="AA16" s="16"/>
      <c r="AB16" s="12" t="str">
        <f t="shared" si="5"/>
        <v/>
      </c>
      <c r="AC16" s="30"/>
    </row>
    <row r="17" spans="1:29" ht="15" customHeight="1" x14ac:dyDescent="0.25">
      <c r="A17" s="48"/>
      <c r="B17" s="52"/>
      <c r="C17" s="15" t="s">
        <v>28</v>
      </c>
      <c r="D17" s="19">
        <v>13</v>
      </c>
      <c r="E17" s="14"/>
      <c r="F17" s="14"/>
      <c r="G17" s="14"/>
      <c r="H17" s="12" t="str">
        <f t="shared" si="0"/>
        <v/>
      </c>
      <c r="I17" s="14"/>
      <c r="J17" s="22"/>
      <c r="K17" s="22"/>
      <c r="L17" s="12" t="str">
        <f t="shared" si="1"/>
        <v/>
      </c>
      <c r="M17" s="13"/>
      <c r="N17" s="13"/>
      <c r="O17" s="13"/>
      <c r="P17" s="12" t="str">
        <f t="shared" si="2"/>
        <v/>
      </c>
      <c r="Q17" s="16"/>
      <c r="R17" s="16">
        <v>11</v>
      </c>
      <c r="S17" s="16"/>
      <c r="T17" s="12">
        <f t="shared" si="3"/>
        <v>0.84615384615384615</v>
      </c>
      <c r="U17" s="16"/>
      <c r="V17" s="16"/>
      <c r="W17" s="16"/>
      <c r="X17" s="12" t="str">
        <f t="shared" si="4"/>
        <v/>
      </c>
      <c r="Y17" s="16"/>
      <c r="Z17" s="16"/>
      <c r="AA17" s="16"/>
      <c r="AB17" s="12" t="str">
        <f t="shared" si="5"/>
        <v/>
      </c>
      <c r="AC17" s="30"/>
    </row>
    <row r="18" spans="1:29" ht="15" customHeight="1" x14ac:dyDescent="0.25">
      <c r="A18" s="48"/>
      <c r="B18" s="52"/>
      <c r="C18" s="15" t="s">
        <v>29</v>
      </c>
      <c r="D18" s="19">
        <v>21</v>
      </c>
      <c r="E18" s="14"/>
      <c r="F18" s="14"/>
      <c r="G18" s="14"/>
      <c r="H18" s="12" t="str">
        <f t="shared" si="0"/>
        <v/>
      </c>
      <c r="I18" s="14"/>
      <c r="J18" s="22">
        <v>21</v>
      </c>
      <c r="K18" s="22"/>
      <c r="L18" s="12">
        <f t="shared" si="1"/>
        <v>1</v>
      </c>
      <c r="M18" s="13"/>
      <c r="N18" s="13">
        <v>21</v>
      </c>
      <c r="O18" s="13"/>
      <c r="P18" s="12">
        <f t="shared" si="2"/>
        <v>1</v>
      </c>
      <c r="Q18" s="16"/>
      <c r="R18" s="16">
        <v>20</v>
      </c>
      <c r="S18" s="17"/>
      <c r="T18" s="12">
        <f t="shared" si="3"/>
        <v>0.95238095238095233</v>
      </c>
      <c r="U18" s="16"/>
      <c r="V18" s="16">
        <v>21</v>
      </c>
      <c r="W18" s="16"/>
      <c r="X18" s="12">
        <f t="shared" si="4"/>
        <v>1</v>
      </c>
      <c r="Y18" s="16"/>
      <c r="Z18" s="16"/>
      <c r="AA18" s="16"/>
      <c r="AB18" s="12" t="str">
        <f t="shared" si="5"/>
        <v/>
      </c>
      <c r="AC18" s="30"/>
    </row>
    <row r="19" spans="1:29" ht="15" customHeight="1" x14ac:dyDescent="0.25">
      <c r="A19" s="48"/>
      <c r="B19" s="52"/>
      <c r="C19" s="15" t="s">
        <v>30</v>
      </c>
      <c r="D19" s="19">
        <v>23</v>
      </c>
      <c r="E19" s="14"/>
      <c r="F19" s="14"/>
      <c r="G19" s="14">
        <v>22</v>
      </c>
      <c r="H19" s="12">
        <f t="shared" si="0"/>
        <v>0.95652173913043481</v>
      </c>
      <c r="I19" s="14"/>
      <c r="J19" s="22">
        <v>23</v>
      </c>
      <c r="K19" s="22"/>
      <c r="L19" s="12">
        <f t="shared" si="1"/>
        <v>1</v>
      </c>
      <c r="M19" s="13"/>
      <c r="N19" s="13">
        <v>23</v>
      </c>
      <c r="O19" s="14"/>
      <c r="P19" s="12">
        <f t="shared" si="2"/>
        <v>1</v>
      </c>
      <c r="Q19" s="16"/>
      <c r="R19" s="16">
        <v>23</v>
      </c>
      <c r="S19" s="16"/>
      <c r="T19" s="12">
        <f t="shared" si="3"/>
        <v>1</v>
      </c>
      <c r="U19" s="16"/>
      <c r="V19" s="16">
        <v>23</v>
      </c>
      <c r="W19" s="16"/>
      <c r="X19" s="12">
        <f t="shared" si="4"/>
        <v>1</v>
      </c>
      <c r="Y19" s="16"/>
      <c r="Z19" s="16"/>
      <c r="AA19" s="16"/>
      <c r="AB19" s="12" t="str">
        <f t="shared" si="5"/>
        <v/>
      </c>
      <c r="AC19" s="30"/>
    </row>
    <row r="20" spans="1:29" ht="15" customHeight="1" x14ac:dyDescent="0.25">
      <c r="A20" s="48"/>
      <c r="B20" s="52"/>
      <c r="C20" s="15" t="s">
        <v>31</v>
      </c>
      <c r="D20" s="19">
        <v>22</v>
      </c>
      <c r="E20" s="14"/>
      <c r="F20" s="14"/>
      <c r="G20" s="14">
        <v>21</v>
      </c>
      <c r="H20" s="12">
        <f t="shared" si="0"/>
        <v>0.95454545454545459</v>
      </c>
      <c r="I20" s="14"/>
      <c r="J20" s="22">
        <v>22</v>
      </c>
      <c r="K20" s="22"/>
      <c r="L20" s="12">
        <f t="shared" si="1"/>
        <v>1</v>
      </c>
      <c r="M20" s="13"/>
      <c r="N20" s="13">
        <v>22</v>
      </c>
      <c r="O20" s="14"/>
      <c r="P20" s="12">
        <f t="shared" si="2"/>
        <v>1</v>
      </c>
      <c r="Q20" s="16"/>
      <c r="R20" s="16">
        <v>22</v>
      </c>
      <c r="S20" s="16"/>
      <c r="T20" s="12">
        <f t="shared" si="3"/>
        <v>1</v>
      </c>
      <c r="U20" s="16"/>
      <c r="V20" s="16">
        <v>20</v>
      </c>
      <c r="W20" s="16"/>
      <c r="X20" s="12">
        <f t="shared" si="4"/>
        <v>0.90909090909090906</v>
      </c>
      <c r="Y20" s="16"/>
      <c r="Z20" s="16"/>
      <c r="AA20" s="16"/>
      <c r="AB20" s="12" t="str">
        <f t="shared" si="5"/>
        <v/>
      </c>
      <c r="AC20" s="30"/>
    </row>
    <row r="21" spans="1:29" ht="15" customHeight="1" x14ac:dyDescent="0.25">
      <c r="A21" s="48"/>
      <c r="B21" s="52"/>
      <c r="C21" s="15" t="s">
        <v>32</v>
      </c>
      <c r="D21" s="19">
        <v>27</v>
      </c>
      <c r="E21" s="14"/>
      <c r="F21" s="14"/>
      <c r="G21" s="14"/>
      <c r="H21" s="12" t="str">
        <f t="shared" si="0"/>
        <v/>
      </c>
      <c r="I21" s="14"/>
      <c r="J21" s="22">
        <v>25</v>
      </c>
      <c r="K21" s="22"/>
      <c r="L21" s="12">
        <f t="shared" si="1"/>
        <v>0.92592592592592593</v>
      </c>
      <c r="M21" s="13"/>
      <c r="N21" s="13">
        <v>25</v>
      </c>
      <c r="O21" s="14"/>
      <c r="P21" s="12">
        <f t="shared" si="2"/>
        <v>0.92592592592592593</v>
      </c>
      <c r="Q21" s="16"/>
      <c r="R21" s="16">
        <v>27</v>
      </c>
      <c r="S21" s="16"/>
      <c r="T21" s="12">
        <f t="shared" si="3"/>
        <v>1</v>
      </c>
      <c r="U21" s="16"/>
      <c r="V21" s="16">
        <v>26</v>
      </c>
      <c r="W21" s="16"/>
      <c r="X21" s="12">
        <f t="shared" si="4"/>
        <v>0.96296296296296291</v>
      </c>
      <c r="Y21" s="16"/>
      <c r="Z21" s="16"/>
      <c r="AA21" s="16"/>
      <c r="AB21" s="12" t="str">
        <f t="shared" si="5"/>
        <v/>
      </c>
      <c r="AC21" s="30"/>
    </row>
    <row r="22" spans="1:29" ht="15" customHeight="1" x14ac:dyDescent="0.25">
      <c r="A22" s="48"/>
      <c r="B22" s="52"/>
      <c r="C22" s="15" t="s">
        <v>33</v>
      </c>
      <c r="D22" s="19">
        <v>27</v>
      </c>
      <c r="E22" s="14"/>
      <c r="F22" s="14"/>
      <c r="G22" s="14"/>
      <c r="H22" s="12" t="str">
        <f t="shared" si="0"/>
        <v/>
      </c>
      <c r="I22" s="14"/>
      <c r="J22" s="22">
        <v>27</v>
      </c>
      <c r="K22" s="22"/>
      <c r="L22" s="12">
        <f t="shared" si="1"/>
        <v>1</v>
      </c>
      <c r="M22" s="13"/>
      <c r="N22" s="13">
        <v>27</v>
      </c>
      <c r="O22" s="14"/>
      <c r="P22" s="12">
        <f t="shared" si="2"/>
        <v>1</v>
      </c>
      <c r="Q22" s="16"/>
      <c r="R22" s="16">
        <v>27</v>
      </c>
      <c r="S22" s="16"/>
      <c r="T22" s="12">
        <f t="shared" si="3"/>
        <v>1</v>
      </c>
      <c r="U22" s="16"/>
      <c r="V22" s="16">
        <v>27</v>
      </c>
      <c r="W22" s="16"/>
      <c r="X22" s="12">
        <f t="shared" si="4"/>
        <v>1</v>
      </c>
      <c r="Y22" s="16"/>
      <c r="Z22" s="16"/>
      <c r="AA22" s="16"/>
      <c r="AB22" s="12" t="str">
        <f t="shared" si="5"/>
        <v/>
      </c>
      <c r="AC22" s="30"/>
    </row>
    <row r="23" spans="1:29" ht="15" customHeight="1" x14ac:dyDescent="0.25">
      <c r="A23" s="48"/>
      <c r="B23" s="53">
        <v>3</v>
      </c>
      <c r="C23" s="15" t="s">
        <v>45</v>
      </c>
      <c r="D23" s="19">
        <v>21</v>
      </c>
      <c r="E23" s="14"/>
      <c r="F23" s="14"/>
      <c r="G23" s="14"/>
      <c r="H23" s="12" t="str">
        <f t="shared" si="0"/>
        <v/>
      </c>
      <c r="I23" s="14"/>
      <c r="J23" s="22"/>
      <c r="K23" s="22"/>
      <c r="L23" s="12" t="str">
        <f t="shared" si="1"/>
        <v/>
      </c>
      <c r="M23" s="13"/>
      <c r="N23" s="13">
        <v>21</v>
      </c>
      <c r="O23" s="14"/>
      <c r="P23" s="12">
        <f t="shared" si="2"/>
        <v>1</v>
      </c>
      <c r="Q23" s="16"/>
      <c r="R23" s="16">
        <v>21</v>
      </c>
      <c r="S23" s="16"/>
      <c r="T23" s="12">
        <f t="shared" si="3"/>
        <v>1</v>
      </c>
      <c r="U23" s="16"/>
      <c r="V23" s="16">
        <v>20</v>
      </c>
      <c r="W23" s="16"/>
      <c r="X23" s="12">
        <f t="shared" si="4"/>
        <v>0.95238095238095233</v>
      </c>
      <c r="Y23" s="16"/>
      <c r="Z23" s="16"/>
      <c r="AA23" s="16"/>
      <c r="AB23" s="12" t="str">
        <f t="shared" si="5"/>
        <v/>
      </c>
      <c r="AC23" s="30"/>
    </row>
    <row r="24" spans="1:29" ht="15" customHeight="1" x14ac:dyDescent="0.25">
      <c r="A24" s="48"/>
      <c r="B24" s="54"/>
      <c r="C24" s="15" t="s">
        <v>44</v>
      </c>
      <c r="D24" s="19">
        <v>21</v>
      </c>
      <c r="E24" s="14"/>
      <c r="F24" s="14"/>
      <c r="G24" s="14"/>
      <c r="H24" s="12" t="str">
        <f t="shared" si="0"/>
        <v/>
      </c>
      <c r="I24" s="14"/>
      <c r="J24" s="22"/>
      <c r="K24" s="22"/>
      <c r="L24" s="12" t="str">
        <f t="shared" si="1"/>
        <v/>
      </c>
      <c r="M24" s="13"/>
      <c r="N24" s="13">
        <v>20</v>
      </c>
      <c r="O24" s="14"/>
      <c r="P24" s="12">
        <f t="shared" si="2"/>
        <v>0.95238095238095233</v>
      </c>
      <c r="Q24" s="16"/>
      <c r="R24" s="16">
        <v>20</v>
      </c>
      <c r="S24" s="16"/>
      <c r="T24" s="12">
        <f t="shared" si="3"/>
        <v>0.95238095238095233</v>
      </c>
      <c r="U24" s="16"/>
      <c r="V24" s="16">
        <v>20</v>
      </c>
      <c r="W24" s="16"/>
      <c r="X24" s="12">
        <f t="shared" si="4"/>
        <v>0.95238095238095233</v>
      </c>
      <c r="Y24" s="16"/>
      <c r="Z24" s="16"/>
      <c r="AA24" s="16"/>
      <c r="AB24" s="12" t="str">
        <f t="shared" si="5"/>
        <v/>
      </c>
      <c r="AC24" s="30"/>
    </row>
    <row r="25" spans="1:29" ht="15" customHeight="1" x14ac:dyDescent="0.25">
      <c r="A25" s="48"/>
      <c r="B25" s="54"/>
      <c r="C25" s="20" t="s">
        <v>43</v>
      </c>
      <c r="D25" s="19">
        <v>11</v>
      </c>
      <c r="E25" s="14"/>
      <c r="F25" s="14"/>
      <c r="G25" s="14"/>
      <c r="H25" s="12" t="str">
        <f t="shared" si="0"/>
        <v/>
      </c>
      <c r="I25" s="14"/>
      <c r="J25" s="22"/>
      <c r="K25" s="22"/>
      <c r="L25" s="12" t="str">
        <f t="shared" si="1"/>
        <v/>
      </c>
      <c r="M25" s="13"/>
      <c r="N25" s="13">
        <v>9</v>
      </c>
      <c r="O25" s="14"/>
      <c r="P25" s="12">
        <f t="shared" si="2"/>
        <v>0.81818181818181823</v>
      </c>
      <c r="Q25" s="16"/>
      <c r="R25" s="16">
        <v>9</v>
      </c>
      <c r="S25" s="16"/>
      <c r="T25" s="12">
        <f t="shared" si="3"/>
        <v>0.81818181818181823</v>
      </c>
      <c r="U25" s="16"/>
      <c r="V25" s="16">
        <v>10</v>
      </c>
      <c r="W25" s="16"/>
      <c r="X25" s="12">
        <f t="shared" si="4"/>
        <v>0.90909090909090906</v>
      </c>
      <c r="Y25" s="16"/>
      <c r="Z25" s="16"/>
      <c r="AA25" s="16"/>
      <c r="AB25" s="12" t="str">
        <f t="shared" si="5"/>
        <v/>
      </c>
      <c r="AC25" s="30"/>
    </row>
    <row r="26" spans="1:29" ht="15" customHeight="1" x14ac:dyDescent="0.25">
      <c r="A26" s="48"/>
      <c r="B26" s="54"/>
      <c r="C26" s="20" t="s">
        <v>42</v>
      </c>
      <c r="D26" s="19">
        <v>21</v>
      </c>
      <c r="E26" s="14"/>
      <c r="F26" s="14">
        <v>16</v>
      </c>
      <c r="G26" s="14"/>
      <c r="H26" s="12">
        <f t="shared" si="0"/>
        <v>0.76190476190476186</v>
      </c>
      <c r="I26" s="14"/>
      <c r="J26" s="22"/>
      <c r="K26" s="22"/>
      <c r="L26" s="12" t="str">
        <f t="shared" si="1"/>
        <v/>
      </c>
      <c r="M26" s="13"/>
      <c r="N26" s="13">
        <v>20</v>
      </c>
      <c r="O26" s="13"/>
      <c r="P26" s="12">
        <f t="shared" si="2"/>
        <v>0.95238095238095233</v>
      </c>
      <c r="Q26" s="16"/>
      <c r="R26" s="16">
        <v>20</v>
      </c>
      <c r="S26" s="16"/>
      <c r="T26" s="12">
        <f t="shared" si="3"/>
        <v>0.95238095238095233</v>
      </c>
      <c r="U26" s="16"/>
      <c r="V26" s="16"/>
      <c r="W26" s="16"/>
      <c r="X26" s="12" t="str">
        <f t="shared" si="4"/>
        <v/>
      </c>
      <c r="Y26" s="16"/>
      <c r="Z26" s="16"/>
      <c r="AA26" s="16"/>
      <c r="AB26" s="12" t="str">
        <f t="shared" si="5"/>
        <v/>
      </c>
      <c r="AC26" s="30"/>
    </row>
    <row r="27" spans="1:29" ht="15" customHeight="1" x14ac:dyDescent="0.25">
      <c r="A27" s="48"/>
      <c r="B27" s="54"/>
      <c r="C27" s="20" t="s">
        <v>41</v>
      </c>
      <c r="D27" s="19">
        <v>21</v>
      </c>
      <c r="E27" s="14"/>
      <c r="F27" s="14">
        <v>13</v>
      </c>
      <c r="G27" s="14"/>
      <c r="H27" s="12">
        <f t="shared" si="0"/>
        <v>0.61904761904761907</v>
      </c>
      <c r="I27" s="14"/>
      <c r="J27" s="22"/>
      <c r="K27" s="22"/>
      <c r="L27" s="12" t="str">
        <f t="shared" si="1"/>
        <v/>
      </c>
      <c r="M27" s="13"/>
      <c r="N27" s="13">
        <v>20</v>
      </c>
      <c r="O27" s="13"/>
      <c r="P27" s="12">
        <f t="shared" si="2"/>
        <v>0.95238095238095233</v>
      </c>
      <c r="Q27" s="16"/>
      <c r="R27" s="16">
        <v>20</v>
      </c>
      <c r="S27" s="16"/>
      <c r="T27" s="12">
        <f t="shared" si="3"/>
        <v>0.95238095238095233</v>
      </c>
      <c r="U27" s="16"/>
      <c r="V27" s="16"/>
      <c r="W27" s="16"/>
      <c r="X27" s="12" t="str">
        <f t="shared" si="4"/>
        <v/>
      </c>
      <c r="Y27" s="16"/>
      <c r="Z27" s="16"/>
      <c r="AA27" s="16"/>
      <c r="AB27" s="12" t="str">
        <f t="shared" si="5"/>
        <v/>
      </c>
      <c r="AC27" s="30"/>
    </row>
    <row r="28" spans="1:29" ht="15" customHeight="1" x14ac:dyDescent="0.25">
      <c r="A28" s="48"/>
      <c r="B28" s="54"/>
      <c r="C28" s="20" t="s">
        <v>40</v>
      </c>
      <c r="D28" s="19">
        <v>22</v>
      </c>
      <c r="E28" s="14"/>
      <c r="F28" s="14">
        <v>17</v>
      </c>
      <c r="G28" s="14"/>
      <c r="H28" s="12">
        <f t="shared" si="0"/>
        <v>0.77272727272727271</v>
      </c>
      <c r="I28" s="14"/>
      <c r="J28" s="22"/>
      <c r="K28" s="22"/>
      <c r="L28" s="12" t="str">
        <f t="shared" si="1"/>
        <v/>
      </c>
      <c r="M28" s="14"/>
      <c r="N28" s="14">
        <v>21</v>
      </c>
      <c r="O28" s="14"/>
      <c r="P28" s="12">
        <f t="shared" si="2"/>
        <v>0.95454545454545459</v>
      </c>
      <c r="Q28" s="16"/>
      <c r="R28" s="16">
        <v>20</v>
      </c>
      <c r="S28" s="16"/>
      <c r="T28" s="12">
        <f t="shared" si="3"/>
        <v>0.90909090909090906</v>
      </c>
      <c r="U28" s="16"/>
      <c r="V28" s="16"/>
      <c r="W28" s="16"/>
      <c r="X28" s="12" t="str">
        <f t="shared" si="4"/>
        <v/>
      </c>
      <c r="Y28" s="16"/>
      <c r="Z28" s="16"/>
      <c r="AA28" s="16"/>
      <c r="AB28" s="12" t="str">
        <f t="shared" si="5"/>
        <v/>
      </c>
      <c r="AC28" s="30"/>
    </row>
    <row r="29" spans="1:29" ht="15" customHeight="1" x14ac:dyDescent="0.25">
      <c r="A29" s="48"/>
      <c r="B29" s="55"/>
      <c r="C29" s="20" t="s">
        <v>37</v>
      </c>
      <c r="D29" s="19">
        <v>28</v>
      </c>
      <c r="E29" s="14"/>
      <c r="F29" s="14">
        <v>26</v>
      </c>
      <c r="G29" s="14"/>
      <c r="H29" s="12">
        <f t="shared" si="0"/>
        <v>0.9285714285714286</v>
      </c>
      <c r="I29" s="14"/>
      <c r="J29" s="22"/>
      <c r="K29" s="22"/>
      <c r="L29" s="12" t="str">
        <f t="shared" si="1"/>
        <v/>
      </c>
      <c r="M29" s="13"/>
      <c r="N29" s="13">
        <v>27</v>
      </c>
      <c r="O29" s="13"/>
      <c r="P29" s="12">
        <f t="shared" si="2"/>
        <v>0.9642857142857143</v>
      </c>
      <c r="Q29" s="16"/>
      <c r="R29" s="16">
        <v>28</v>
      </c>
      <c r="S29" s="16"/>
      <c r="T29" s="12">
        <f t="shared" si="3"/>
        <v>1</v>
      </c>
      <c r="U29" s="16"/>
      <c r="V29" s="16"/>
      <c r="W29" s="16"/>
      <c r="X29" s="12" t="str">
        <f t="shared" si="4"/>
        <v/>
      </c>
      <c r="Y29" s="16"/>
      <c r="Z29" s="16"/>
      <c r="AA29" s="16"/>
      <c r="AB29" s="12" t="str">
        <f t="shared" si="5"/>
        <v/>
      </c>
      <c r="AC29" s="30"/>
    </row>
    <row r="30" spans="1:29" ht="15" customHeight="1" x14ac:dyDescent="0.25">
      <c r="A30" s="48"/>
      <c r="B30" s="53">
        <v>4</v>
      </c>
      <c r="C30" s="20" t="s">
        <v>38</v>
      </c>
      <c r="D30" s="19">
        <v>22</v>
      </c>
      <c r="E30" s="14"/>
      <c r="F30" s="14"/>
      <c r="G30" s="14"/>
      <c r="H30" s="12" t="str">
        <f t="shared" si="0"/>
        <v/>
      </c>
      <c r="I30" s="14"/>
      <c r="J30" s="22"/>
      <c r="K30" s="22"/>
      <c r="L30" s="12" t="str">
        <f t="shared" si="1"/>
        <v/>
      </c>
      <c r="M30" s="13"/>
      <c r="N30" s="13">
        <v>24</v>
      </c>
      <c r="O30" s="13"/>
      <c r="P30" s="12">
        <f t="shared" si="2"/>
        <v>1.0909090909090908</v>
      </c>
      <c r="Q30" s="16"/>
      <c r="R30" s="16">
        <v>23</v>
      </c>
      <c r="S30" s="16"/>
      <c r="T30" s="12">
        <f t="shared" si="3"/>
        <v>1.0454545454545454</v>
      </c>
      <c r="U30" s="16"/>
      <c r="V30" s="16">
        <v>19</v>
      </c>
      <c r="W30" s="16"/>
      <c r="X30" s="12">
        <f t="shared" si="4"/>
        <v>0.86363636363636365</v>
      </c>
      <c r="Y30" s="16"/>
      <c r="Z30" s="16"/>
      <c r="AA30" s="16"/>
      <c r="AB30" s="12" t="str">
        <f t="shared" si="5"/>
        <v/>
      </c>
      <c r="AC30" s="30"/>
    </row>
    <row r="31" spans="1:29" ht="15" customHeight="1" x14ac:dyDescent="0.25">
      <c r="A31" s="48"/>
      <c r="B31" s="54"/>
      <c r="C31" s="20" t="s">
        <v>39</v>
      </c>
      <c r="D31" s="19">
        <v>24</v>
      </c>
      <c r="E31" s="14"/>
      <c r="F31" s="14"/>
      <c r="G31" s="14"/>
      <c r="H31" s="12" t="str">
        <f t="shared" si="0"/>
        <v/>
      </c>
      <c r="I31" s="14"/>
      <c r="J31" s="22"/>
      <c r="K31" s="22"/>
      <c r="L31" s="12" t="str">
        <f t="shared" si="1"/>
        <v/>
      </c>
      <c r="M31" s="13"/>
      <c r="N31" s="13">
        <v>23</v>
      </c>
      <c r="O31" s="13"/>
      <c r="P31" s="12">
        <f t="shared" si="2"/>
        <v>0.95833333333333337</v>
      </c>
      <c r="Q31" s="16"/>
      <c r="R31" s="16">
        <v>22</v>
      </c>
      <c r="S31" s="16"/>
      <c r="T31" s="12">
        <f t="shared" si="3"/>
        <v>0.91666666666666663</v>
      </c>
      <c r="U31" s="16"/>
      <c r="V31" s="16">
        <v>22</v>
      </c>
      <c r="W31" s="16"/>
      <c r="X31" s="12">
        <f t="shared" si="4"/>
        <v>0.91666666666666663</v>
      </c>
      <c r="Y31" s="16"/>
      <c r="Z31" s="16"/>
      <c r="AA31" s="16"/>
      <c r="AB31" s="12" t="str">
        <f t="shared" si="5"/>
        <v/>
      </c>
      <c r="AC31" s="30"/>
    </row>
    <row r="32" spans="1:29" ht="15" customHeight="1" x14ac:dyDescent="0.25">
      <c r="A32" s="48"/>
      <c r="B32" s="54"/>
      <c r="C32" s="20" t="s">
        <v>36</v>
      </c>
      <c r="D32" s="19">
        <v>24</v>
      </c>
      <c r="E32" s="14"/>
      <c r="F32" s="14"/>
      <c r="G32" s="14"/>
      <c r="H32" s="12" t="str">
        <f t="shared" si="0"/>
        <v/>
      </c>
      <c r="I32" s="14"/>
      <c r="J32" s="22"/>
      <c r="K32" s="22"/>
      <c r="L32" s="12" t="str">
        <f t="shared" si="1"/>
        <v/>
      </c>
      <c r="M32" s="13"/>
      <c r="N32" s="13">
        <v>23</v>
      </c>
      <c r="O32" s="13"/>
      <c r="P32" s="12">
        <f t="shared" si="2"/>
        <v>0.95833333333333337</v>
      </c>
      <c r="Q32" s="16"/>
      <c r="R32" s="16">
        <v>22</v>
      </c>
      <c r="S32" s="16"/>
      <c r="T32" s="12">
        <f t="shared" si="3"/>
        <v>0.91666666666666663</v>
      </c>
      <c r="U32" s="16"/>
      <c r="V32" s="16">
        <v>21</v>
      </c>
      <c r="W32" s="16"/>
      <c r="X32" s="12">
        <f t="shared" si="4"/>
        <v>0.875</v>
      </c>
      <c r="Y32" s="16"/>
      <c r="Z32" s="16"/>
      <c r="AA32" s="16"/>
      <c r="AB32" s="12" t="str">
        <f t="shared" si="5"/>
        <v/>
      </c>
      <c r="AC32" s="30"/>
    </row>
    <row r="33" spans="1:29" ht="15" customHeight="1" x14ac:dyDescent="0.25">
      <c r="A33" s="48"/>
      <c r="B33" s="54"/>
      <c r="C33" s="21" t="s">
        <v>35</v>
      </c>
      <c r="D33" s="19">
        <v>27</v>
      </c>
      <c r="E33" s="14"/>
      <c r="F33" s="14">
        <v>25</v>
      </c>
      <c r="G33" s="14"/>
      <c r="H33" s="12">
        <f t="shared" si="0"/>
        <v>0.92592592592592593</v>
      </c>
      <c r="I33" s="14"/>
      <c r="J33" s="22"/>
      <c r="K33" s="22"/>
      <c r="L33" s="12" t="str">
        <f t="shared" si="1"/>
        <v/>
      </c>
      <c r="M33" s="13"/>
      <c r="N33" s="13">
        <v>27</v>
      </c>
      <c r="O33" s="13"/>
      <c r="P33" s="12">
        <f t="shared" si="2"/>
        <v>1</v>
      </c>
      <c r="Q33" s="16"/>
      <c r="R33" s="16">
        <v>21</v>
      </c>
      <c r="S33" s="16"/>
      <c r="T33" s="12">
        <f t="shared" si="3"/>
        <v>0.77777777777777779</v>
      </c>
      <c r="U33" s="16"/>
      <c r="V33" s="16"/>
      <c r="W33" s="16"/>
      <c r="X33" s="12" t="str">
        <f t="shared" si="4"/>
        <v/>
      </c>
      <c r="Y33" s="16"/>
      <c r="Z33" s="16"/>
      <c r="AA33" s="16"/>
      <c r="AB33" s="12" t="str">
        <f t="shared" si="5"/>
        <v/>
      </c>
      <c r="AC33" s="30"/>
    </row>
    <row r="34" spans="1:29" s="2" customFormat="1" ht="15.75" x14ac:dyDescent="0.25">
      <c r="A34" s="24"/>
      <c r="B34" s="55"/>
      <c r="C34" s="21" t="s">
        <v>34</v>
      </c>
      <c r="D34" s="19">
        <v>27</v>
      </c>
      <c r="E34" s="14"/>
      <c r="F34" s="14">
        <v>27</v>
      </c>
      <c r="G34" s="14"/>
      <c r="H34" s="12">
        <f t="shared" si="0"/>
        <v>1</v>
      </c>
      <c r="I34" s="14"/>
      <c r="J34" s="22"/>
      <c r="K34" s="22"/>
      <c r="L34" s="12" t="str">
        <f t="shared" si="1"/>
        <v/>
      </c>
      <c r="M34" s="13"/>
      <c r="N34" s="13">
        <v>27</v>
      </c>
      <c r="O34" s="13"/>
      <c r="P34" s="12">
        <f t="shared" si="2"/>
        <v>1</v>
      </c>
      <c r="Q34" s="16"/>
      <c r="R34" s="16">
        <v>24</v>
      </c>
      <c r="S34" s="16"/>
      <c r="T34" s="12">
        <f t="shared" si="3"/>
        <v>0.88888888888888884</v>
      </c>
      <c r="U34" s="16"/>
      <c r="V34" s="16"/>
      <c r="W34" s="16"/>
      <c r="X34" s="12" t="str">
        <f t="shared" si="4"/>
        <v/>
      </c>
      <c r="Y34" s="16"/>
      <c r="Z34" s="16"/>
      <c r="AA34" s="16"/>
      <c r="AB34" s="12" t="str">
        <f t="shared" si="5"/>
        <v/>
      </c>
      <c r="AC34" s="30"/>
    </row>
    <row r="35" spans="1:29" ht="20.25" customHeight="1" x14ac:dyDescent="0.25">
      <c r="A35" s="29"/>
      <c r="B35" s="25"/>
      <c r="C35" s="26" t="s">
        <v>10</v>
      </c>
      <c r="D35" s="27">
        <f>SUM(D4:D34)</f>
        <v>692</v>
      </c>
      <c r="E35" s="28"/>
      <c r="F35" s="28">
        <f>SUM(F4:F34)</f>
        <v>124</v>
      </c>
      <c r="G35" s="28">
        <f>SUM(G4:G34)</f>
        <v>231</v>
      </c>
      <c r="H35" s="40">
        <f t="shared" si="0"/>
        <v>0.25650289017341038</v>
      </c>
      <c r="I35" s="28"/>
      <c r="J35" s="28">
        <f>SUM(J4:J34)</f>
        <v>290</v>
      </c>
      <c r="K35" s="28"/>
      <c r="L35" s="40">
        <f t="shared" si="1"/>
        <v>0.41907514450867051</v>
      </c>
      <c r="M35" s="28"/>
      <c r="N35" s="28">
        <f>SUM(N4:N34)</f>
        <v>552</v>
      </c>
      <c r="O35" s="28"/>
      <c r="P35" s="40">
        <f t="shared" si="2"/>
        <v>0.79768786127167635</v>
      </c>
      <c r="Q35" s="28"/>
      <c r="R35" s="28">
        <f>SUM(R4:R34)</f>
        <v>654</v>
      </c>
      <c r="S35" s="28"/>
      <c r="T35" s="40">
        <f t="shared" si="3"/>
        <v>0.94508670520231219</v>
      </c>
      <c r="U35" s="28"/>
      <c r="V35" s="28">
        <f>SUM(V4:V34)</f>
        <v>400</v>
      </c>
      <c r="W35" s="28"/>
      <c r="X35" s="40">
        <f t="shared" si="4"/>
        <v>0.5780346820809249</v>
      </c>
      <c r="Y35" s="28"/>
      <c r="Z35" s="28"/>
      <c r="AA35" s="28"/>
      <c r="AB35" s="40" t="str">
        <f t="shared" si="5"/>
        <v/>
      </c>
      <c r="AC35" s="31"/>
    </row>
    <row r="36" spans="1:29" x14ac:dyDescent="0.45">
      <c r="D36" s="8"/>
      <c r="E36" s="5"/>
    </row>
    <row r="37" spans="1:29" x14ac:dyDescent="0.45">
      <c r="D37" s="8"/>
      <c r="E37" s="5"/>
    </row>
    <row r="38" spans="1:29" x14ac:dyDescent="0.45">
      <c r="D38" s="8"/>
      <c r="E38" s="5"/>
    </row>
    <row r="39" spans="1:29" x14ac:dyDescent="0.45">
      <c r="D39" s="8"/>
      <c r="E39" s="5"/>
    </row>
    <row r="40" spans="1:29" x14ac:dyDescent="0.45">
      <c r="D40" s="8"/>
      <c r="E40" s="5"/>
    </row>
    <row r="41" spans="1:29" x14ac:dyDescent="0.45">
      <c r="D41" s="8"/>
      <c r="E41" s="5"/>
    </row>
  </sheetData>
  <protectedRanges>
    <protectedRange algorithmName="SHA-512" hashValue="FJhm+KeTOeC8ALCoFm3DZoPjPp1nomnIq71VBpEvlsnYEDDRpuhaqU6WMxrAVRkiWJsiUxa4b4uJDwYESruQmA==" saltValue="9ZFn5Mm1wQ8KL7HApuVQyQ==" spinCount="100000" sqref="H2 L2 P2 T2 X2 AB2" name="formula_2"/>
    <protectedRange algorithmName="SHA-512" hashValue="FJhm+KeTOeC8ALCoFm3DZoPjPp1nomnIq71VBpEvlsnYEDDRpuhaqU6WMxrAVRkiWJsiUxa4b4uJDwYESruQmA==" saltValue="9ZFn5Mm1wQ8KL7HApuVQyQ==" spinCount="100000" sqref="J3 N3 R3 V3 Z3 T3 X3 H3 L3 P3 AB3" name="formula_3"/>
    <protectedRange algorithmName="SHA-512" hashValue="FJhm+KeTOeC8ALCoFm3DZoPjPp1nomnIq71VBpEvlsnYEDDRpuhaqU6WMxrAVRkiWJsiUxa4b4uJDwYESruQmA==" saltValue="9ZFn5Mm1wQ8KL7HApuVQyQ==" spinCount="100000" sqref="U1:W1 Y1:AA1 I1:K1 M1:S1 AC1" name="formula_4"/>
  </protectedRanges>
  <mergeCells count="20">
    <mergeCell ref="A1:AC1"/>
    <mergeCell ref="A4:A33"/>
    <mergeCell ref="A2:C2"/>
    <mergeCell ref="E2:H2"/>
    <mergeCell ref="I2:L2"/>
    <mergeCell ref="M2:P2"/>
    <mergeCell ref="Q2:T2"/>
    <mergeCell ref="Y3:AA3"/>
    <mergeCell ref="U2:X2"/>
    <mergeCell ref="Y2:AB2"/>
    <mergeCell ref="B4:B14"/>
    <mergeCell ref="B15:B22"/>
    <mergeCell ref="B23:B29"/>
    <mergeCell ref="B30:B34"/>
    <mergeCell ref="AD3:AJ3"/>
    <mergeCell ref="E3:G3"/>
    <mergeCell ref="I3:K3"/>
    <mergeCell ref="M3:O3"/>
    <mergeCell ref="Q3:S3"/>
    <mergeCell ref="U3:W3"/>
  </mergeCells>
  <pageMargins left="0.7" right="0.7" top="0.75" bottom="0.75" header="0.3" footer="0.3"/>
  <pageSetup paperSize="9" scale="49" orientation="landscape" r:id="rId1"/>
  <rowBreaks count="1" manualBreakCount="1">
    <brk id="34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2026-10-14T06:59:08Z</dcterms:modified>
</cp:coreProperties>
</file>